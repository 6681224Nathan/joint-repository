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rad Planning" sheetId="1" r:id="rId5"/>
    <sheet state="visible" name="Terms &amp; Internship" sheetId="2" r:id="rId6"/>
    <sheet state="visible" name="Grad Requirement" sheetId="3" r:id="rId7"/>
    <sheet state="visible" name="Ranking" sheetId="4" r:id="rId8"/>
  </sheets>
  <definedNames/>
  <calcPr/>
</workbook>
</file>

<file path=xl/sharedStrings.xml><?xml version="1.0" encoding="utf-8"?>
<sst xmlns="http://schemas.openxmlformats.org/spreadsheetml/2006/main" count="262" uniqueCount="128">
  <si>
    <t>Course Type</t>
  </si>
  <si>
    <t>tier list</t>
  </si>
  <si>
    <t>Course Unit</t>
  </si>
  <si>
    <t>EGCI 319 Internship In Computer Engineering</t>
  </si>
  <si>
    <t>Unit</t>
  </si>
  <si>
    <t>Unit / Credit</t>
  </si>
  <si>
    <t>Hopeless</t>
  </si>
  <si>
    <t>EGCI 252 System Programming</t>
  </si>
  <si>
    <t>General Education Course</t>
  </si>
  <si>
    <t>EGCI 330 Microprocessor and Interfacing</t>
  </si>
  <si>
    <t>Prerequisite
(Y/N)</t>
  </si>
  <si>
    <t>EGCI 351 Operating Systems</t>
  </si>
  <si>
    <t>Cried</t>
  </si>
  <si>
    <t>Prerequisites 01</t>
  </si>
  <si>
    <t>EGCI 230 Electric Circuit Analysis</t>
  </si>
  <si>
    <t>EGCI 305 Statistics for Research in Computer Engineering</t>
  </si>
  <si>
    <t>EGCI 221 Data Structures and Algorithms</t>
  </si>
  <si>
    <t>Prerequisities 02</t>
  </si>
  <si>
    <t>EGCI 333 Computer Architecture</t>
  </si>
  <si>
    <t>EGCI 332 Embedded Systems</t>
  </si>
  <si>
    <t>Prerequisites 03</t>
  </si>
  <si>
    <t>Hard</t>
  </si>
  <si>
    <t>Complete (Y/N)</t>
  </si>
  <si>
    <t xml:space="preserve">Exchange </t>
  </si>
  <si>
    <t>EGCI 201 Discrete Mathematics</t>
  </si>
  <si>
    <t>Notes</t>
  </si>
  <si>
    <t>Core Courses</t>
  </si>
  <si>
    <t>EGCI 213 Programming Paradigms</t>
  </si>
  <si>
    <t>Major Required Courses</t>
  </si>
  <si>
    <t>Jun - Nov 27</t>
  </si>
  <si>
    <t>EGCI 321 Database Systems</t>
  </si>
  <si>
    <t>EGCI 491 Computer Engineering Seminar</t>
  </si>
  <si>
    <t>Major Elective Courses</t>
  </si>
  <si>
    <t>EGCI 232 Engineering Electronics</t>
  </si>
  <si>
    <t>I-Design Elective Courses</t>
  </si>
  <si>
    <t>EGCI 492 Computer Engineering Project</t>
  </si>
  <si>
    <t>GenEd (English Communication)</t>
  </si>
  <si>
    <t>Hard, but easy grade</t>
  </si>
  <si>
    <t>Free Elective Courses</t>
  </si>
  <si>
    <t>EGCI 211 Advanced Computer Programming</t>
  </si>
  <si>
    <t>ICMA 223 Linear Algebra A</t>
  </si>
  <si>
    <t>Internship (Thailand) - 5 weeks</t>
  </si>
  <si>
    <t>156 hours</t>
  </si>
  <si>
    <t>ICGC 101 Academic Writing and Research 1</t>
  </si>
  <si>
    <t>What college should be</t>
  </si>
  <si>
    <t>12 Weeks, one semester</t>
  </si>
  <si>
    <t>ICMA 213 Calculus II</t>
  </si>
  <si>
    <t>ICPY 101 Physics I</t>
  </si>
  <si>
    <t>ICPY 102 Physics II</t>
  </si>
  <si>
    <t>EGCI 113 Fundamental Computer Programming</t>
  </si>
  <si>
    <t>EGCI 202 Engineering Maths for Signal and System</t>
  </si>
  <si>
    <t>EGCI 231 Digital Circuit Design</t>
  </si>
  <si>
    <t>EGCI 233 Digital Circuit Design Lab</t>
  </si>
  <si>
    <t>EGCI 340 Software Design</t>
  </si>
  <si>
    <t>EGCI 341 Software Engineering</t>
  </si>
  <si>
    <t>EGCI 371 Computer Networks and Information Security</t>
  </si>
  <si>
    <t>Chill af</t>
  </si>
  <si>
    <t>ICMA 106 Calculus I</t>
  </si>
  <si>
    <t>New year eve</t>
  </si>
  <si>
    <t>Yes</t>
  </si>
  <si>
    <t>SysPro (NP)</t>
  </si>
  <si>
    <t>MicroPro</t>
  </si>
  <si>
    <t>OS</t>
  </si>
  <si>
    <t>ECA (DC)</t>
  </si>
  <si>
    <t>Stats (TN)</t>
  </si>
  <si>
    <t>DataStruc</t>
  </si>
  <si>
    <t>CA</t>
  </si>
  <si>
    <t>Embedded</t>
  </si>
  <si>
    <t>ICGC 102 Academic Writing and Research 2</t>
  </si>
  <si>
    <t>DisMath</t>
  </si>
  <si>
    <t>Paradigm</t>
  </si>
  <si>
    <t>DB (LT)</t>
  </si>
  <si>
    <t>Seminar</t>
  </si>
  <si>
    <t>EE</t>
  </si>
  <si>
    <t>AdvCom</t>
  </si>
  <si>
    <t>LinearAl</t>
  </si>
  <si>
    <t>Cal2</t>
  </si>
  <si>
    <t>ICGC 103 Public Speaking</t>
  </si>
  <si>
    <t>Phi1</t>
  </si>
  <si>
    <t>Phi2</t>
  </si>
  <si>
    <t>FunCom</t>
  </si>
  <si>
    <t>EngMath</t>
  </si>
  <si>
    <t>DCD</t>
  </si>
  <si>
    <t>SoftDe</t>
  </si>
  <si>
    <t>SoftEng</t>
  </si>
  <si>
    <t>comNetwork</t>
  </si>
  <si>
    <t>Cal1</t>
  </si>
  <si>
    <t>ICGC 201 Global Realities</t>
  </si>
  <si>
    <t>GenEd (Life Appreciation)</t>
  </si>
  <si>
    <t>ICGS 125 American History, Popular Media and Modern Life</t>
  </si>
  <si>
    <t>GenEd (Global Citizenship)</t>
  </si>
  <si>
    <t xml:space="preserve">ICGL 101 Elementary German I </t>
  </si>
  <si>
    <t>GenEd (Critical Thinking)</t>
  </si>
  <si>
    <t xml:space="preserve">ICGH 115 Cinematic Languages and Its Application </t>
  </si>
  <si>
    <t>GenEd (Leadership)</t>
  </si>
  <si>
    <t>ICGS 104 Essentials of Entrepreneurship</t>
  </si>
  <si>
    <t>GenEd (Digital Literacy)</t>
  </si>
  <si>
    <t>Actual year</t>
  </si>
  <si>
    <t>N</t>
  </si>
  <si>
    <t>No</t>
  </si>
  <si>
    <t>GenEd Electives</t>
  </si>
  <si>
    <t>ICGN 130 Cryptography: The Science of Making and Breaking Codes</t>
  </si>
  <si>
    <t>Engineering Core Courses</t>
  </si>
  <si>
    <t>Academic year</t>
  </si>
  <si>
    <t>summer</t>
  </si>
  <si>
    <t>1st semester</t>
  </si>
  <si>
    <t>Y</t>
  </si>
  <si>
    <t>2nd semester</t>
  </si>
  <si>
    <t>3rd semester</t>
  </si>
  <si>
    <t>Academic semesters</t>
  </si>
  <si>
    <t>3rd year</t>
  </si>
  <si>
    <t>4th year</t>
  </si>
  <si>
    <t>Internship</t>
  </si>
  <si>
    <t xml:space="preserve">Major Required Courses </t>
  </si>
  <si>
    <t>Australia Exchange</t>
  </si>
  <si>
    <t>Exchange</t>
  </si>
  <si>
    <t>Enrolled in 60 EGCI credits</t>
  </si>
  <si>
    <t>Major Electives Courses</t>
  </si>
  <si>
    <t>depends on course selected</t>
  </si>
  <si>
    <t>I-design (Business Adminstration minor)</t>
  </si>
  <si>
    <t>ICMB 205 Microeconomics</t>
  </si>
  <si>
    <t>ICMB 213 Financial Accounting</t>
  </si>
  <si>
    <t>ICMB 222 Principles of Marketing</t>
  </si>
  <si>
    <t>ICMB 235 Management and Organizational Behavior</t>
  </si>
  <si>
    <t>ICMB 207 Management of Business Information</t>
  </si>
  <si>
    <t>Free Elective Courses (can enroll major elec here)</t>
  </si>
  <si>
    <t>ICGP 110 Self Defense (Striking)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</si>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</sst>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mm yyyy"/>
  </numFmts>
  <fonts count="7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Arial"/>
    </font>
    <font>
      <color rgb="FFFFFFFF"/>
      <name val="Arial"/>
      <scheme val="minor"/>
    </font>
    <font/>
    <font>
      <color rgb="FF000000"/>
      <name val="Arial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CC4125"/>
        <bgColor rgb="FFCC4125"/>
      </patternFill>
    </fill>
    <fill>
      <patternFill patternType="solid">
        <fgColor rgb="FF3D85C6"/>
        <bgColor rgb="FF3D85C6"/>
      </patternFill>
    </fill>
    <fill>
      <patternFill patternType="solid">
        <fgColor rgb="FFF6B26B"/>
        <bgColor rgb="FFF6B26B"/>
      </patternFill>
    </fill>
    <fill>
      <patternFill patternType="solid">
        <fgColor rgb="FF6FA8DC"/>
        <bgColor rgb="FF6FA8DC"/>
      </patternFill>
    </fill>
    <fill>
      <patternFill patternType="solid">
        <fgColor rgb="FFB7B7B7"/>
        <bgColor rgb="FFB7B7B7"/>
      </patternFill>
    </fill>
    <fill>
      <patternFill patternType="solid">
        <fgColor rgb="FFFF9900"/>
        <bgColor rgb="FFFF9900"/>
      </patternFill>
    </fill>
    <fill>
      <patternFill patternType="solid">
        <fgColor rgb="FF93C47D"/>
        <bgColor rgb="FF93C47D"/>
      </patternFill>
    </fill>
  </fills>
  <borders count="13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center"/>
    </xf>
    <xf borderId="0" fillId="0" fontId="2" numFmtId="0" xfId="0" applyAlignment="1" applyFont="1">
      <alignment readingOrder="0"/>
    </xf>
    <xf borderId="2" fillId="0" fontId="1" numFmtId="0" xfId="0" applyAlignment="1" applyBorder="1" applyFont="1">
      <alignment horizontal="center" readingOrder="0" vertical="center"/>
    </xf>
    <xf borderId="0" fillId="0" fontId="3" numFmtId="0" xfId="0" applyAlignment="1" applyFont="1">
      <alignment vertical="top"/>
    </xf>
    <xf borderId="2" fillId="0" fontId="1" numFmtId="49" xfId="0" applyAlignment="1" applyBorder="1" applyFont="1" applyNumberFormat="1">
      <alignment horizontal="center" readingOrder="0" vertical="center"/>
    </xf>
    <xf borderId="0" fillId="0" fontId="2" numFmtId="0" xfId="0" applyAlignment="1" applyFont="1">
      <alignment readingOrder="0" vertical="top"/>
    </xf>
    <xf borderId="0" fillId="0" fontId="1" numFmtId="0" xfId="0" applyAlignment="1" applyFont="1">
      <alignment horizontal="center" readingOrder="0" vertical="top"/>
    </xf>
    <xf borderId="0" fillId="0" fontId="3" numFmtId="0" xfId="0" applyAlignment="1" applyFont="1">
      <alignment vertical="top"/>
    </xf>
    <xf borderId="3" fillId="0" fontId="1" numFmtId="0" xfId="0" applyAlignment="1" applyBorder="1" applyFont="1">
      <alignment horizontal="center" readingOrder="0" vertical="center"/>
    </xf>
    <xf borderId="4" fillId="0" fontId="2" numFmtId="0" xfId="0" applyAlignment="1" applyBorder="1" applyFont="1">
      <alignment readingOrder="0"/>
    </xf>
    <xf borderId="0" fillId="2" fontId="4" numFmtId="0" xfId="0" applyAlignment="1" applyFill="1" applyFont="1">
      <alignment readingOrder="0"/>
    </xf>
    <xf borderId="0" fillId="0" fontId="3" numFmtId="0" xfId="0" applyAlignment="1" applyFont="1">
      <alignment readingOrder="0" vertical="top"/>
    </xf>
    <xf borderId="5" fillId="0" fontId="2" numFmtId="0" xfId="0" applyBorder="1" applyFont="1"/>
    <xf borderId="6" fillId="0" fontId="2" numFmtId="164" xfId="0" applyAlignment="1" applyBorder="1" applyFont="1" applyNumberFormat="1">
      <alignment readingOrder="0"/>
    </xf>
    <xf borderId="4" fillId="0" fontId="3" numFmtId="0" xfId="0" applyAlignment="1" applyBorder="1" applyFont="1">
      <alignment vertical="bottom"/>
    </xf>
    <xf borderId="7" fillId="3" fontId="4" numFmtId="0" xfId="0" applyAlignment="1" applyBorder="1" applyFill="1" applyFont="1">
      <alignment horizontal="center" readingOrder="0"/>
    </xf>
    <xf borderId="0" fillId="0" fontId="3" numFmtId="0" xfId="0" applyAlignment="1" applyFont="1">
      <alignment horizontal="right" vertical="top"/>
    </xf>
    <xf borderId="8" fillId="0" fontId="5" numFmtId="0" xfId="0" applyBorder="1" applyFont="1"/>
    <xf borderId="4" fillId="0" fontId="3" numFmtId="0" xfId="0" applyAlignment="1" applyBorder="1" applyFont="1">
      <alignment vertical="bottom"/>
    </xf>
    <xf borderId="9" fillId="0" fontId="5" numFmtId="0" xfId="0" applyBorder="1" applyFont="1"/>
    <xf borderId="6" fillId="4" fontId="2" numFmtId="0" xfId="0" applyAlignment="1" applyBorder="1" applyFill="1" applyFont="1">
      <alignment horizontal="center" readingOrder="0"/>
    </xf>
    <xf borderId="0" fillId="0" fontId="3" numFmtId="0" xfId="0" applyAlignment="1" applyFont="1">
      <alignment horizontal="right" vertical="top"/>
    </xf>
    <xf borderId="7" fillId="5" fontId="6" numFmtId="0" xfId="0" applyAlignment="1" applyBorder="1" applyFill="1" applyFont="1">
      <alignment horizontal="center" readingOrder="0"/>
    </xf>
    <xf borderId="7" fillId="4" fontId="6" numFmtId="0" xfId="0" applyAlignment="1" applyBorder="1" applyFill="1" applyFont="1">
      <alignment horizontal="center" readingOrder="0"/>
    </xf>
    <xf borderId="0" fillId="0" fontId="2" numFmtId="0" xfId="0" applyFont="1"/>
    <xf borderId="7" fillId="6" fontId="6" numFmtId="0" xfId="0" applyAlignment="1" applyBorder="1" applyFill="1" applyFont="1">
      <alignment horizontal="center" readingOrder="0"/>
    </xf>
    <xf borderId="7" fillId="7" fontId="2" numFmtId="0" xfId="0" applyAlignment="1" applyBorder="1" applyFill="1" applyFont="1">
      <alignment horizontal="center" readingOrder="0"/>
    </xf>
    <xf borderId="7" fillId="8" fontId="2" numFmtId="0" xfId="0" applyAlignment="1" applyBorder="1" applyFill="1" applyFont="1">
      <alignment horizontal="center" readingOrder="0"/>
    </xf>
    <xf borderId="0" fillId="0" fontId="6" numFmtId="0" xfId="0" applyAlignment="1" applyFont="1">
      <alignment readingOrder="0"/>
    </xf>
    <xf borderId="10" fillId="0" fontId="2" numFmtId="0" xfId="0" applyAlignment="1" applyBorder="1" applyFont="1">
      <alignment readingOrder="0"/>
    </xf>
    <xf borderId="11" fillId="0" fontId="6" numFmtId="0" xfId="0" applyAlignment="1" applyBorder="1" applyFont="1">
      <alignment readingOrder="0"/>
    </xf>
    <xf borderId="11" fillId="0" fontId="2" numFmtId="0" xfId="0" applyAlignment="1" applyBorder="1" applyFont="1">
      <alignment readingOrder="0"/>
    </xf>
    <xf borderId="11" fillId="0" fontId="2" numFmtId="0" xfId="0" applyBorder="1" applyFont="1"/>
    <xf borderId="12" fillId="0" fontId="2" numFmtId="0" xfId="0" applyBorder="1" applyFont="1"/>
    <xf borderId="7" fillId="0" fontId="2" numFmtId="0" xfId="0" applyAlignment="1" applyBorder="1" applyFont="1">
      <alignment readingOrder="0"/>
    </xf>
    <xf borderId="8" fillId="0" fontId="2" numFmtId="0" xfId="0" applyBorder="1" applyFont="1"/>
    <xf borderId="9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75"/>
    <col customWidth="1" min="2" max="2" width="24.38"/>
    <col customWidth="1" min="3" max="3" width="37.5"/>
    <col customWidth="1" min="6" max="6" width="8.38"/>
    <col customWidth="1" min="7" max="7" width="8.5"/>
    <col customWidth="1" min="8" max="8" width="9.38"/>
  </cols>
  <sheetData>
    <row r="2">
      <c r="B2" s="1" t="s">
        <v>0</v>
      </c>
      <c r="C2" s="3" t="s">
        <v>2</v>
      </c>
      <c r="D2" s="5" t="s">
        <v>4</v>
      </c>
      <c r="E2" s="3" t="s">
        <v>10</v>
      </c>
      <c r="F2" s="3" t="s">
        <v>13</v>
      </c>
      <c r="G2" s="3" t="s">
        <v>17</v>
      </c>
      <c r="H2" s="3" t="s">
        <v>20</v>
      </c>
      <c r="I2" s="5" t="s">
        <v>22</v>
      </c>
      <c r="J2" s="9" t="s">
        <v>25</v>
      </c>
    </row>
    <row r="3">
      <c r="B3" s="10" t="s">
        <v>36</v>
      </c>
      <c r="C3" s="2" t="s">
        <v>43</v>
      </c>
      <c r="D3" s="2">
        <v>4.0</v>
      </c>
      <c r="I3" s="2" t="s">
        <v>59</v>
      </c>
      <c r="J3" s="13"/>
    </row>
    <row r="4">
      <c r="B4" s="10" t="s">
        <v>36</v>
      </c>
      <c r="C4" s="2" t="s">
        <v>68</v>
      </c>
      <c r="D4" s="2">
        <v>4.0</v>
      </c>
      <c r="I4" s="2" t="s">
        <v>59</v>
      </c>
      <c r="J4" s="13"/>
    </row>
    <row r="5">
      <c r="B5" s="10" t="s">
        <v>36</v>
      </c>
      <c r="C5" s="2" t="s">
        <v>77</v>
      </c>
      <c r="D5" s="2">
        <v>4.0</v>
      </c>
      <c r="I5" s="2" t="s">
        <v>59</v>
      </c>
      <c r="J5" s="13"/>
    </row>
    <row r="6">
      <c r="B6" s="10" t="s">
        <v>36</v>
      </c>
      <c r="C6" s="2" t="s">
        <v>87</v>
      </c>
      <c r="D6" s="2">
        <v>4.0</v>
      </c>
      <c r="I6" s="2" t="s">
        <v>59</v>
      </c>
      <c r="J6" s="13"/>
    </row>
    <row r="7">
      <c r="B7" s="10" t="s">
        <v>88</v>
      </c>
      <c r="C7" s="2" t="s">
        <v>89</v>
      </c>
      <c r="D7" s="2">
        <v>4.0</v>
      </c>
      <c r="I7" s="2" t="s">
        <v>59</v>
      </c>
      <c r="J7" s="13"/>
    </row>
    <row r="8">
      <c r="B8" s="10" t="s">
        <v>90</v>
      </c>
      <c r="C8" s="2" t="s">
        <v>91</v>
      </c>
      <c r="D8" s="2">
        <v>4.0</v>
      </c>
      <c r="I8" s="2" t="s">
        <v>59</v>
      </c>
      <c r="J8" s="13"/>
    </row>
    <row r="9">
      <c r="B9" s="10" t="s">
        <v>92</v>
      </c>
      <c r="C9" s="2" t="s">
        <v>93</v>
      </c>
      <c r="D9" s="2">
        <v>4.0</v>
      </c>
      <c r="I9" s="2" t="s">
        <v>59</v>
      </c>
      <c r="J9" s="13"/>
    </row>
    <row r="10">
      <c r="B10" s="10" t="s">
        <v>94</v>
      </c>
      <c r="C10" s="2" t="s">
        <v>95</v>
      </c>
      <c r="D10" s="2">
        <v>4.0</v>
      </c>
      <c r="I10" s="2" t="s">
        <v>59</v>
      </c>
      <c r="J10" s="13"/>
    </row>
    <row r="11">
      <c r="B11" s="10" t="s">
        <v>96</v>
      </c>
      <c r="D11" s="2">
        <v>4.0</v>
      </c>
      <c r="E11" s="2" t="s">
        <v>98</v>
      </c>
      <c r="I11" s="2" t="s">
        <v>99</v>
      </c>
      <c r="J11" s="13"/>
    </row>
    <row r="12">
      <c r="B12" s="10" t="s">
        <v>100</v>
      </c>
      <c r="C12" s="2" t="s">
        <v>101</v>
      </c>
      <c r="D12" s="2">
        <v>2.0</v>
      </c>
      <c r="I12" s="2" t="s">
        <v>59</v>
      </c>
      <c r="J12" s="13"/>
    </row>
    <row r="13">
      <c r="B13" s="15" t="s">
        <v>102</v>
      </c>
      <c r="C13" s="4" t="s">
        <v>57</v>
      </c>
      <c r="D13" s="17">
        <v>4.0</v>
      </c>
      <c r="I13" s="2" t="s">
        <v>59</v>
      </c>
      <c r="J13" s="13"/>
    </row>
    <row r="14">
      <c r="B14" s="19" t="s">
        <v>102</v>
      </c>
      <c r="C14" s="4" t="s">
        <v>46</v>
      </c>
      <c r="D14" s="17">
        <v>4.0</v>
      </c>
      <c r="I14" s="2" t="s">
        <v>59</v>
      </c>
      <c r="J14" s="13"/>
    </row>
    <row r="15">
      <c r="B15" s="19" t="s">
        <v>102</v>
      </c>
      <c r="C15" s="4" t="s">
        <v>47</v>
      </c>
      <c r="D15" s="17">
        <v>4.0</v>
      </c>
      <c r="I15" s="2" t="s">
        <v>59</v>
      </c>
      <c r="J15" s="13"/>
    </row>
    <row r="16">
      <c r="B16" s="19" t="s">
        <v>102</v>
      </c>
      <c r="C16" s="4" t="s">
        <v>48</v>
      </c>
      <c r="D16" s="17">
        <v>4.0</v>
      </c>
      <c r="I16" s="2" t="s">
        <v>59</v>
      </c>
      <c r="J16" s="13"/>
    </row>
    <row r="17">
      <c r="B17" s="19" t="s">
        <v>102</v>
      </c>
      <c r="C17" s="8" t="s">
        <v>49</v>
      </c>
      <c r="D17" s="17">
        <v>3.0</v>
      </c>
      <c r="I17" s="2" t="s">
        <v>59</v>
      </c>
      <c r="J17" s="13"/>
    </row>
    <row r="18">
      <c r="B18" s="19" t="s">
        <v>102</v>
      </c>
      <c r="C18" s="8" t="s">
        <v>24</v>
      </c>
      <c r="D18" s="17">
        <v>4.0</v>
      </c>
      <c r="I18" s="2" t="s">
        <v>59</v>
      </c>
      <c r="J18" s="13"/>
    </row>
    <row r="19">
      <c r="B19" s="19" t="s">
        <v>102</v>
      </c>
      <c r="C19" s="8" t="s">
        <v>39</v>
      </c>
      <c r="D19" s="17">
        <v>3.0</v>
      </c>
      <c r="I19" s="2" t="s">
        <v>59</v>
      </c>
      <c r="J19" s="13"/>
    </row>
    <row r="20">
      <c r="B20" s="15" t="s">
        <v>102</v>
      </c>
      <c r="C20" s="4" t="s">
        <v>14</v>
      </c>
      <c r="D20" s="22">
        <v>4.0</v>
      </c>
      <c r="I20" s="2" t="s">
        <v>59</v>
      </c>
      <c r="J20" s="13"/>
    </row>
    <row r="21">
      <c r="B21" s="15" t="s">
        <v>102</v>
      </c>
      <c r="C21" s="4" t="s">
        <v>33</v>
      </c>
      <c r="D21" s="22">
        <v>4.0</v>
      </c>
      <c r="E21" s="2" t="s">
        <v>106</v>
      </c>
      <c r="F21" s="25" t="str">
        <f>C20</f>
        <v>EGCI 230 Electric Circuit Analysis</v>
      </c>
      <c r="G21" s="25" t="str">
        <f>C16</f>
        <v>ICPY 102 Physics II</v>
      </c>
      <c r="I21" s="2" t="s">
        <v>99</v>
      </c>
      <c r="J21" s="13"/>
    </row>
    <row r="22">
      <c r="B22" s="15" t="s">
        <v>102</v>
      </c>
      <c r="C22" s="4" t="s">
        <v>15</v>
      </c>
      <c r="D22" s="22">
        <v>4.0</v>
      </c>
      <c r="I22" s="2" t="s">
        <v>59</v>
      </c>
      <c r="J22" s="13"/>
    </row>
    <row r="23">
      <c r="B23" s="15" t="s">
        <v>113</v>
      </c>
      <c r="C23" s="4" t="s">
        <v>40</v>
      </c>
      <c r="D23" s="22">
        <v>2.0</v>
      </c>
      <c r="I23" s="2" t="s">
        <v>59</v>
      </c>
      <c r="J23" s="13"/>
    </row>
    <row r="24">
      <c r="B24" s="15" t="s">
        <v>113</v>
      </c>
      <c r="C24" s="4" t="s">
        <v>50</v>
      </c>
      <c r="D24" s="22">
        <v>4.0</v>
      </c>
      <c r="I24" s="2" t="s">
        <v>59</v>
      </c>
      <c r="J24" s="13"/>
    </row>
    <row r="25">
      <c r="B25" s="15" t="s">
        <v>113</v>
      </c>
      <c r="C25" s="4" t="s">
        <v>27</v>
      </c>
      <c r="D25" s="22">
        <v>4.0</v>
      </c>
      <c r="I25" s="2" t="s">
        <v>59</v>
      </c>
      <c r="J25" s="13"/>
    </row>
    <row r="26">
      <c r="B26" s="15" t="s">
        <v>113</v>
      </c>
      <c r="C26" s="4" t="s">
        <v>16</v>
      </c>
      <c r="D26" s="22">
        <v>4.0</v>
      </c>
      <c r="I26" s="2" t="s">
        <v>59</v>
      </c>
      <c r="J26" s="13"/>
    </row>
    <row r="27">
      <c r="B27" s="15" t="s">
        <v>113</v>
      </c>
      <c r="C27" s="4" t="s">
        <v>51</v>
      </c>
      <c r="D27" s="22">
        <v>4.0</v>
      </c>
      <c r="I27" s="2" t="s">
        <v>59</v>
      </c>
      <c r="J27" s="13"/>
    </row>
    <row r="28">
      <c r="B28" s="15" t="s">
        <v>113</v>
      </c>
      <c r="C28" s="4" t="s">
        <v>52</v>
      </c>
      <c r="D28" s="22">
        <v>1.0</v>
      </c>
      <c r="I28" s="2" t="s">
        <v>59</v>
      </c>
      <c r="J28" s="13"/>
    </row>
    <row r="29">
      <c r="B29" s="15" t="s">
        <v>113</v>
      </c>
      <c r="C29" s="4" t="s">
        <v>7</v>
      </c>
      <c r="D29" s="22">
        <v>4.0</v>
      </c>
      <c r="I29" s="2" t="s">
        <v>59</v>
      </c>
      <c r="J29" s="13"/>
    </row>
    <row r="30">
      <c r="B30" s="19" t="s">
        <v>113</v>
      </c>
      <c r="C30" s="4" t="s">
        <v>3</v>
      </c>
      <c r="D30" s="22">
        <v>2.0</v>
      </c>
      <c r="E30" s="2" t="s">
        <v>106</v>
      </c>
      <c r="F30" s="2" t="s">
        <v>116</v>
      </c>
      <c r="I30" s="2" t="s">
        <v>99</v>
      </c>
      <c r="J30" s="13"/>
    </row>
    <row r="31">
      <c r="B31" s="19" t="s">
        <v>113</v>
      </c>
      <c r="C31" s="4" t="s">
        <v>30</v>
      </c>
      <c r="D31" s="22">
        <v>4.0</v>
      </c>
      <c r="I31" s="2" t="s">
        <v>59</v>
      </c>
      <c r="J31" s="13"/>
    </row>
    <row r="32">
      <c r="B32" s="19" t="s">
        <v>113</v>
      </c>
      <c r="C32" s="4" t="s">
        <v>9</v>
      </c>
      <c r="D32" s="22">
        <v>4.0</v>
      </c>
      <c r="E32" s="2" t="s">
        <v>106</v>
      </c>
      <c r="F32" s="25" t="str">
        <f>C27</f>
        <v>EGCI 231 Digital Circuit Design</v>
      </c>
      <c r="I32" s="2" t="s">
        <v>99</v>
      </c>
      <c r="J32" s="13"/>
    </row>
    <row r="33">
      <c r="B33" s="19" t="s">
        <v>113</v>
      </c>
      <c r="C33" s="4" t="s">
        <v>19</v>
      </c>
      <c r="D33" s="22">
        <v>4.0</v>
      </c>
      <c r="E33" s="2" t="s">
        <v>106</v>
      </c>
      <c r="F33" s="25" t="str">
        <f>C27</f>
        <v>EGCI 231 Digital Circuit Design</v>
      </c>
      <c r="I33" s="2" t="s">
        <v>99</v>
      </c>
      <c r="J33" s="13"/>
    </row>
    <row r="34">
      <c r="B34" s="19" t="s">
        <v>113</v>
      </c>
      <c r="C34" s="4" t="s">
        <v>18</v>
      </c>
      <c r="D34" s="22">
        <v>4.0</v>
      </c>
      <c r="E34" s="2" t="s">
        <v>106</v>
      </c>
      <c r="F34" s="25" t="str">
        <f>C27</f>
        <v>EGCI 231 Digital Circuit Design</v>
      </c>
      <c r="I34" s="2" t="s">
        <v>99</v>
      </c>
      <c r="J34" s="13"/>
    </row>
    <row r="35">
      <c r="B35" s="19" t="s">
        <v>113</v>
      </c>
      <c r="C35" s="4" t="s">
        <v>53</v>
      </c>
      <c r="D35" s="22">
        <v>2.0</v>
      </c>
      <c r="I35" s="2" t="s">
        <v>59</v>
      </c>
      <c r="J35" s="13"/>
    </row>
    <row r="36">
      <c r="B36" s="19" t="s">
        <v>113</v>
      </c>
      <c r="C36" s="4" t="s">
        <v>54</v>
      </c>
      <c r="D36" s="22">
        <v>4.0</v>
      </c>
      <c r="I36" s="2" t="s">
        <v>59</v>
      </c>
      <c r="J36" s="13"/>
    </row>
    <row r="37">
      <c r="B37" s="19" t="s">
        <v>113</v>
      </c>
      <c r="C37" s="4" t="s">
        <v>11</v>
      </c>
      <c r="D37" s="22">
        <v>4.0</v>
      </c>
      <c r="E37" s="2" t="s">
        <v>106</v>
      </c>
      <c r="F37" s="25" t="str">
        <f>C29</f>
        <v>EGCI 252 System Programming</v>
      </c>
      <c r="G37" s="25" t="str">
        <f>C34</f>
        <v>EGCI 333 Computer Architecture</v>
      </c>
      <c r="I37" s="2" t="s">
        <v>99</v>
      </c>
      <c r="J37" s="13"/>
    </row>
    <row r="38">
      <c r="B38" s="19" t="s">
        <v>113</v>
      </c>
      <c r="C38" s="4" t="s">
        <v>55</v>
      </c>
      <c r="D38" s="22">
        <v>4.0</v>
      </c>
      <c r="I38" s="2" t="s">
        <v>59</v>
      </c>
      <c r="J38" s="13"/>
    </row>
    <row r="39">
      <c r="B39" s="19" t="s">
        <v>113</v>
      </c>
      <c r="C39" s="4" t="s">
        <v>31</v>
      </c>
      <c r="D39" s="22">
        <v>1.0</v>
      </c>
      <c r="I39" s="2" t="s">
        <v>59</v>
      </c>
      <c r="J39" s="13"/>
    </row>
    <row r="40">
      <c r="B40" s="19" t="s">
        <v>113</v>
      </c>
      <c r="C40" s="4" t="s">
        <v>35</v>
      </c>
      <c r="D40" s="22">
        <v>2.0</v>
      </c>
      <c r="E40" s="2" t="s">
        <v>106</v>
      </c>
      <c r="F40" s="25" t="str">
        <f>C39</f>
        <v>EGCI 491 Computer Engineering Seminar</v>
      </c>
      <c r="I40" s="2" t="s">
        <v>99</v>
      </c>
      <c r="J40" s="13"/>
    </row>
    <row r="41">
      <c r="B41" s="10" t="s">
        <v>117</v>
      </c>
      <c r="C41" s="6"/>
      <c r="D41" s="6">
        <v>4.0</v>
      </c>
      <c r="E41" s="2" t="s">
        <v>106</v>
      </c>
      <c r="F41" s="2" t="s">
        <v>118</v>
      </c>
      <c r="I41" s="2" t="s">
        <v>99</v>
      </c>
      <c r="J41" s="13"/>
    </row>
    <row r="42">
      <c r="B42" s="10" t="s">
        <v>117</v>
      </c>
      <c r="C42" s="6"/>
      <c r="D42" s="6">
        <v>4.0</v>
      </c>
      <c r="E42" s="2" t="s">
        <v>106</v>
      </c>
      <c r="F42" s="2" t="s">
        <v>118</v>
      </c>
      <c r="I42" s="2" t="s">
        <v>99</v>
      </c>
      <c r="J42" s="13"/>
    </row>
    <row r="43">
      <c r="B43" s="10" t="s">
        <v>119</v>
      </c>
      <c r="C43" s="29" t="s">
        <v>120</v>
      </c>
      <c r="D43" s="6">
        <v>4.0</v>
      </c>
      <c r="E43" s="2" t="s">
        <v>98</v>
      </c>
      <c r="I43" s="2" t="s">
        <v>99</v>
      </c>
      <c r="J43" s="13"/>
    </row>
    <row r="44">
      <c r="B44" s="10" t="s">
        <v>119</v>
      </c>
      <c r="C44" s="29" t="s">
        <v>121</v>
      </c>
      <c r="D44" s="6">
        <v>4.0</v>
      </c>
      <c r="E44" s="2" t="s">
        <v>98</v>
      </c>
      <c r="I44" s="2" t="s">
        <v>99</v>
      </c>
      <c r="J44" s="13"/>
    </row>
    <row r="45">
      <c r="B45" s="10" t="s">
        <v>119</v>
      </c>
      <c r="C45" s="6" t="s">
        <v>122</v>
      </c>
      <c r="D45" s="6">
        <v>4.0</v>
      </c>
      <c r="I45" s="2" t="s">
        <v>59</v>
      </c>
      <c r="J45" s="13"/>
    </row>
    <row r="46">
      <c r="B46" s="10" t="s">
        <v>119</v>
      </c>
      <c r="C46" s="29" t="s">
        <v>123</v>
      </c>
      <c r="D46" s="6">
        <v>4.0</v>
      </c>
      <c r="I46" s="2" t="s">
        <v>59</v>
      </c>
      <c r="J46" s="13"/>
    </row>
    <row r="47">
      <c r="B47" s="10" t="s">
        <v>119</v>
      </c>
      <c r="C47" s="29" t="s">
        <v>124</v>
      </c>
      <c r="D47" s="6">
        <v>4.0</v>
      </c>
      <c r="E47" s="2" t="s">
        <v>98</v>
      </c>
      <c r="I47" s="2" t="s">
        <v>99</v>
      </c>
      <c r="J47" s="13"/>
    </row>
    <row r="48">
      <c r="B48" s="10" t="s">
        <v>125</v>
      </c>
      <c r="D48" s="6">
        <v>4.0</v>
      </c>
      <c r="I48" s="2" t="s">
        <v>99</v>
      </c>
      <c r="J48" s="13"/>
    </row>
    <row r="49">
      <c r="B49" s="10" t="s">
        <v>38</v>
      </c>
      <c r="D49" s="6">
        <v>4.0</v>
      </c>
      <c r="I49" s="2" t="s">
        <v>99</v>
      </c>
      <c r="J49" s="13"/>
    </row>
    <row r="50">
      <c r="B50" s="30" t="s">
        <v>88</v>
      </c>
      <c r="C50" s="31" t="s">
        <v>126</v>
      </c>
      <c r="D50" s="32">
        <v>1.0</v>
      </c>
      <c r="E50" s="33"/>
      <c r="F50" s="33"/>
      <c r="G50" s="33"/>
      <c r="H50" s="33"/>
      <c r="I50" s="32" t="s">
        <v>59</v>
      </c>
      <c r="J50" s="34"/>
    </row>
    <row r="51">
      <c r="B51" s="35" t="s">
        <v>127</v>
      </c>
      <c r="C51" s="36"/>
      <c r="D51" s="36">
        <f>SUM(D3:D50)</f>
        <v>171</v>
      </c>
      <c r="E51" s="36"/>
      <c r="F51" s="36"/>
      <c r="G51" s="36"/>
      <c r="H51" s="36"/>
      <c r="I51" s="36"/>
      <c r="J51" s="37"/>
    </row>
  </sheetData>
  <dataValidations>
    <dataValidation type="list" allowBlank="1" showErrorMessage="1" sqref="I3:I50">
      <formula1>"Yes,No"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4.75"/>
    <col customWidth="1" min="4" max="24" width="9.75"/>
  </cols>
  <sheetData>
    <row r="2">
      <c r="B2" s="2" t="s">
        <v>23</v>
      </c>
      <c r="C2" s="2" t="s">
        <v>29</v>
      </c>
    </row>
    <row r="3">
      <c r="B3" s="2" t="s">
        <v>41</v>
      </c>
      <c r="C3" s="2" t="s">
        <v>42</v>
      </c>
      <c r="D3" s="2" t="s">
        <v>45</v>
      </c>
    </row>
    <row r="6">
      <c r="H6" s="11" t="s">
        <v>58</v>
      </c>
      <c r="T6" s="11" t="s">
        <v>58</v>
      </c>
    </row>
    <row r="7">
      <c r="D7" s="14">
        <v>46235.0</v>
      </c>
      <c r="E7" s="14">
        <v>46266.0</v>
      </c>
      <c r="F7" s="14">
        <v>46296.0</v>
      </c>
      <c r="G7" s="14">
        <v>46327.0</v>
      </c>
      <c r="H7" s="14">
        <v>46357.0</v>
      </c>
      <c r="I7" s="14">
        <v>46388.0</v>
      </c>
      <c r="J7" s="14">
        <v>46419.0</v>
      </c>
      <c r="K7" s="14">
        <v>46447.0</v>
      </c>
      <c r="L7" s="14">
        <v>46478.0</v>
      </c>
      <c r="M7" s="14">
        <v>46508.0</v>
      </c>
      <c r="N7" s="14">
        <v>46539.0</v>
      </c>
      <c r="O7" s="14">
        <v>46569.0</v>
      </c>
      <c r="P7" s="14">
        <v>46600.0</v>
      </c>
      <c r="Q7" s="14">
        <v>46631.0</v>
      </c>
      <c r="R7" s="14">
        <v>46661.0</v>
      </c>
      <c r="S7" s="14">
        <v>46692.0</v>
      </c>
      <c r="T7" s="14">
        <v>46722.0</v>
      </c>
      <c r="U7" s="14">
        <v>46753.0</v>
      </c>
      <c r="V7" s="14">
        <v>46784.0</v>
      </c>
      <c r="W7" s="14">
        <v>46813.0</v>
      </c>
      <c r="X7" s="14">
        <v>46844.0</v>
      </c>
    </row>
    <row r="8">
      <c r="C8" s="2" t="s">
        <v>97</v>
      </c>
      <c r="D8" s="16">
        <v>2026.0</v>
      </c>
      <c r="E8" s="18"/>
      <c r="F8" s="18"/>
      <c r="G8" s="18"/>
      <c r="H8" s="20"/>
      <c r="I8" s="16">
        <v>2027.0</v>
      </c>
      <c r="J8" s="18"/>
      <c r="K8" s="18"/>
      <c r="L8" s="18"/>
      <c r="M8" s="18"/>
      <c r="N8" s="18"/>
      <c r="O8" s="18"/>
      <c r="P8" s="18"/>
      <c r="Q8" s="18"/>
      <c r="R8" s="18"/>
      <c r="S8" s="18"/>
      <c r="T8" s="20"/>
      <c r="U8" s="16">
        <v>2028.0</v>
      </c>
      <c r="V8" s="18"/>
      <c r="W8" s="18"/>
      <c r="X8" s="20"/>
    </row>
    <row r="9">
      <c r="C9" s="2" t="s">
        <v>103</v>
      </c>
      <c r="D9" s="21" t="s">
        <v>104</v>
      </c>
      <c r="E9" s="23" t="s">
        <v>105</v>
      </c>
      <c r="F9" s="18"/>
      <c r="G9" s="18"/>
      <c r="H9" s="20"/>
      <c r="I9" s="23" t="s">
        <v>107</v>
      </c>
      <c r="J9" s="18"/>
      <c r="K9" s="20"/>
      <c r="L9" s="23" t="s">
        <v>108</v>
      </c>
      <c r="M9" s="18"/>
      <c r="N9" s="18"/>
      <c r="O9" s="20"/>
      <c r="P9" s="24" t="s">
        <v>104</v>
      </c>
      <c r="Q9" s="20"/>
      <c r="R9" s="23" t="s">
        <v>105</v>
      </c>
      <c r="S9" s="18"/>
      <c r="T9" s="20"/>
      <c r="U9" s="23" t="s">
        <v>107</v>
      </c>
      <c r="V9" s="18"/>
      <c r="W9" s="18"/>
      <c r="X9" s="20"/>
    </row>
    <row r="10">
      <c r="C10" s="2" t="s">
        <v>109</v>
      </c>
      <c r="D10" s="26" t="s">
        <v>110</v>
      </c>
      <c r="E10" s="18"/>
      <c r="F10" s="18"/>
      <c r="G10" s="18"/>
      <c r="H10" s="18"/>
      <c r="I10" s="18"/>
      <c r="J10" s="18"/>
      <c r="K10" s="20"/>
      <c r="L10" s="26" t="s">
        <v>111</v>
      </c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20"/>
    </row>
    <row r="11">
      <c r="C11" s="2" t="s">
        <v>112</v>
      </c>
      <c r="L11" s="27" t="s">
        <v>112</v>
      </c>
      <c r="M11" s="18"/>
      <c r="N11" s="18"/>
      <c r="O11" s="20"/>
    </row>
    <row r="12">
      <c r="C12" s="2" t="s">
        <v>114</v>
      </c>
      <c r="O12" s="28" t="s">
        <v>115</v>
      </c>
      <c r="P12" s="18"/>
      <c r="Q12" s="18"/>
      <c r="R12" s="18"/>
      <c r="S12" s="20"/>
    </row>
  </sheetData>
  <mergeCells count="13">
    <mergeCell ref="R9:T9"/>
    <mergeCell ref="U9:X9"/>
    <mergeCell ref="D10:K10"/>
    <mergeCell ref="L10:X10"/>
    <mergeCell ref="L11:O11"/>
    <mergeCell ref="O12:S12"/>
    <mergeCell ref="D8:H8"/>
    <mergeCell ref="I8:T8"/>
    <mergeCell ref="U8:X8"/>
    <mergeCell ref="E9:H9"/>
    <mergeCell ref="I9:K9"/>
    <mergeCell ref="L9:O9"/>
    <mergeCell ref="P9:Q9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0"/>
    <col customWidth="1" min="2" max="2" width="22.5"/>
  </cols>
  <sheetData>
    <row r="2">
      <c r="B2" s="2" t="s">
        <v>0</v>
      </c>
      <c r="C2" s="2" t="s">
        <v>5</v>
      </c>
    </row>
    <row r="3">
      <c r="B3" s="6" t="s">
        <v>8</v>
      </c>
      <c r="C3" s="7">
        <v>38.0</v>
      </c>
    </row>
    <row r="4">
      <c r="B4" s="6" t="s">
        <v>26</v>
      </c>
      <c r="C4" s="7">
        <v>38.0</v>
      </c>
    </row>
    <row r="5">
      <c r="B5" s="6" t="s">
        <v>28</v>
      </c>
      <c r="C5" s="7">
        <v>58.0</v>
      </c>
    </row>
    <row r="6">
      <c r="B6" s="6" t="s">
        <v>32</v>
      </c>
      <c r="C6" s="7">
        <v>8.0</v>
      </c>
    </row>
    <row r="7">
      <c r="B7" s="6" t="s">
        <v>34</v>
      </c>
      <c r="C7" s="7">
        <v>20.0</v>
      </c>
    </row>
    <row r="8">
      <c r="B8" s="6" t="s">
        <v>38</v>
      </c>
      <c r="C8" s="7">
        <v>8.0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9.38"/>
  </cols>
  <sheetData>
    <row r="3">
      <c r="B3" s="2" t="s">
        <v>1</v>
      </c>
    </row>
    <row r="5">
      <c r="B5" s="4" t="s">
        <v>3</v>
      </c>
      <c r="E5" s="2" t="s">
        <v>6</v>
      </c>
      <c r="F5" s="4" t="s">
        <v>7</v>
      </c>
      <c r="G5" s="4" t="s">
        <v>9</v>
      </c>
      <c r="H5" s="4" t="s">
        <v>11</v>
      </c>
    </row>
    <row r="6">
      <c r="E6" s="2" t="s">
        <v>12</v>
      </c>
      <c r="F6" s="4" t="s">
        <v>14</v>
      </c>
      <c r="G6" s="4" t="s">
        <v>15</v>
      </c>
      <c r="H6" s="4" t="s">
        <v>16</v>
      </c>
      <c r="I6" s="4" t="s">
        <v>18</v>
      </c>
      <c r="J6" s="4" t="s">
        <v>19</v>
      </c>
    </row>
    <row r="7">
      <c r="E7" s="2" t="s">
        <v>21</v>
      </c>
      <c r="F7" s="8" t="s">
        <v>24</v>
      </c>
      <c r="G7" s="4" t="s">
        <v>27</v>
      </c>
      <c r="H7" s="4" t="s">
        <v>30</v>
      </c>
      <c r="I7" s="4" t="s">
        <v>31</v>
      </c>
      <c r="J7" s="4" t="s">
        <v>33</v>
      </c>
    </row>
    <row r="8">
      <c r="B8" s="4" t="s">
        <v>35</v>
      </c>
      <c r="E8" s="2" t="s">
        <v>37</v>
      </c>
      <c r="F8" s="8" t="s">
        <v>39</v>
      </c>
      <c r="G8" s="4" t="s">
        <v>40</v>
      </c>
    </row>
    <row r="9">
      <c r="E9" s="2" t="s">
        <v>44</v>
      </c>
      <c r="F9" s="4" t="s">
        <v>46</v>
      </c>
      <c r="G9" s="4" t="s">
        <v>47</v>
      </c>
      <c r="H9" s="4" t="s">
        <v>48</v>
      </c>
      <c r="I9" s="8" t="s">
        <v>49</v>
      </c>
      <c r="J9" s="4" t="s">
        <v>50</v>
      </c>
      <c r="K9" s="4" t="s">
        <v>51</v>
      </c>
      <c r="L9" s="4" t="s">
        <v>52</v>
      </c>
      <c r="N9" s="4" t="s">
        <v>53</v>
      </c>
      <c r="O9" s="4" t="s">
        <v>54</v>
      </c>
      <c r="P9" s="4" t="s">
        <v>55</v>
      </c>
    </row>
    <row r="10">
      <c r="E10" s="2" t="s">
        <v>56</v>
      </c>
      <c r="F10" s="4" t="s">
        <v>57</v>
      </c>
    </row>
    <row r="14">
      <c r="E14" s="2" t="s">
        <v>6</v>
      </c>
      <c r="F14" s="12" t="s">
        <v>60</v>
      </c>
      <c r="G14" s="12" t="s">
        <v>61</v>
      </c>
      <c r="H14" s="12" t="s">
        <v>62</v>
      </c>
    </row>
    <row r="15">
      <c r="E15" s="2" t="s">
        <v>12</v>
      </c>
      <c r="F15" s="12" t="s">
        <v>63</v>
      </c>
      <c r="G15" s="12" t="s">
        <v>64</v>
      </c>
      <c r="H15" s="12" t="s">
        <v>65</v>
      </c>
      <c r="I15" s="12" t="s">
        <v>66</v>
      </c>
      <c r="J15" s="12" t="s">
        <v>67</v>
      </c>
    </row>
    <row r="16">
      <c r="E16" s="2" t="s">
        <v>21</v>
      </c>
      <c r="F16" s="12" t="s">
        <v>69</v>
      </c>
      <c r="G16" s="12" t="s">
        <v>70</v>
      </c>
      <c r="H16" s="12" t="s">
        <v>71</v>
      </c>
      <c r="I16" s="12" t="s">
        <v>72</v>
      </c>
      <c r="J16" s="12" t="s">
        <v>73</v>
      </c>
    </row>
    <row r="17">
      <c r="E17" s="2" t="s">
        <v>37</v>
      </c>
      <c r="F17" s="12" t="s">
        <v>74</v>
      </c>
      <c r="G17" s="12" t="s">
        <v>75</v>
      </c>
    </row>
    <row r="18">
      <c r="E18" s="2" t="s">
        <v>44</v>
      </c>
      <c r="F18" s="12" t="s">
        <v>76</v>
      </c>
      <c r="G18" s="12" t="s">
        <v>78</v>
      </c>
      <c r="H18" s="12" t="s">
        <v>79</v>
      </c>
      <c r="I18" s="12" t="s">
        <v>80</v>
      </c>
      <c r="J18" s="12" t="s">
        <v>81</v>
      </c>
      <c r="K18" s="12" t="s">
        <v>82</v>
      </c>
      <c r="L18" s="12" t="s">
        <v>83</v>
      </c>
      <c r="M18" s="12" t="s">
        <v>84</v>
      </c>
      <c r="N18" s="12" t="s">
        <v>85</v>
      </c>
    </row>
    <row r="19">
      <c r="E19" s="2" t="s">
        <v>56</v>
      </c>
      <c r="F19" s="12" t="s">
        <v>86</v>
      </c>
    </row>
  </sheetData>
  <drawing r:id="rId1"/>
</worksheet>
</file>