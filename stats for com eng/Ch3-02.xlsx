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pin\Desktop\joint-repository\stats for com eng\"/>
    </mc:Choice>
  </mc:AlternateContent>
  <xr:revisionPtr revIDLastSave="0" documentId="13_ncr:1_{3C3D6207-2756-4B46-A85F-3694D81885AB}" xr6:coauthVersionLast="47" xr6:coauthVersionMax="47" xr10:uidLastSave="{00000000-0000-0000-0000-000000000000}"/>
  <bookViews>
    <workbookView xWindow="-110" yWindow="-110" windowWidth="19420" windowHeight="10300" activeTab="2" xr2:uid="{8DEBBECD-A99A-49B1-B4B6-AB7841D25FAA}"/>
  </bookViews>
  <sheets>
    <sheet name="Sheet0" sheetId="3" r:id="rId1"/>
    <sheet name="Sheet1" sheetId="2" r:id="rId2"/>
    <sheet name="Sheet2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6" i="1"/>
  <c r="B5" i="1"/>
  <c r="B4" i="1"/>
  <c r="B1" i="1"/>
  <c r="B22" i="2"/>
  <c r="B21" i="2"/>
  <c r="C19" i="2"/>
  <c r="C18" i="2"/>
  <c r="B16" i="2"/>
  <c r="B15" i="2"/>
  <c r="B14" i="2"/>
  <c r="B10" i="2"/>
  <c r="B9" i="2"/>
  <c r="B5" i="2"/>
  <c r="B4" i="2"/>
  <c r="B3" i="2"/>
  <c r="B17" i="3"/>
  <c r="B16" i="3"/>
  <c r="B13" i="3"/>
  <c r="B12" i="3"/>
  <c r="B3" i="3"/>
  <c r="E5" i="3"/>
  <c r="E6" i="3"/>
  <c r="E7" i="3"/>
  <c r="E8" i="3"/>
  <c r="E9" i="3"/>
  <c r="E4" i="3"/>
  <c r="B4" i="3"/>
  <c r="E10" i="3" l="1"/>
</calcChain>
</file>

<file path=xl/sharedStrings.xml><?xml version="1.0" encoding="utf-8"?>
<sst xmlns="http://schemas.openxmlformats.org/spreadsheetml/2006/main" count="53" uniqueCount="49">
  <si>
    <t xml:space="preserve">P(Z &gt; 1.26) = </t>
  </si>
  <si>
    <t xml:space="preserve">P(Z &lt; -0.86) = </t>
  </si>
  <si>
    <t xml:space="preserve">P(Z &gt; -1.37) = </t>
  </si>
  <si>
    <t xml:space="preserve">P(-1.25&lt;Z&lt;0.37) = </t>
  </si>
  <si>
    <t xml:space="preserve">P(Z ≤ -4.6) ≈ </t>
  </si>
  <si>
    <t xml:space="preserve">Find z for P(Z ≤ z) = 0.05, z = </t>
  </si>
  <si>
    <t xml:space="preserve">Find z for P(-z &lt; Z &lt; z) = 0.99, z = </t>
  </si>
  <si>
    <t>Normal Dist</t>
  </si>
  <si>
    <t>P(X&gt;13)</t>
  </si>
  <si>
    <t>P(X&lt;=13)</t>
  </si>
  <si>
    <t>P(Z&lt;=0.02)</t>
  </si>
  <si>
    <t>Standard Normal Dist</t>
  </si>
  <si>
    <t>P(-0.5&lt;Z&lt;0.5)</t>
  </si>
  <si>
    <t>P(Z&lt;0.5)</t>
  </si>
  <si>
    <t>P(Z&lt;-0.5)</t>
  </si>
  <si>
    <t>P(9&lt;X&lt;11), mean=10, sd=2</t>
  </si>
  <si>
    <t>P(Z,z)=0.98</t>
  </si>
  <si>
    <t>x = 2*z+10</t>
  </si>
  <si>
    <t>P(Z&lt;-2)</t>
  </si>
  <si>
    <t>mean of 10 mA &amp; a variance of 4 mA2.</t>
  </si>
  <si>
    <t>P(8&lt;X&lt;12)</t>
  </si>
  <si>
    <t>z</t>
  </si>
  <si>
    <t>x</t>
  </si>
  <si>
    <t>P(Z&gt;2) = 1-P(Z&lt;=2)</t>
  </si>
  <si>
    <t>Poisson Distribution</t>
  </si>
  <si>
    <t>Lambda</t>
  </si>
  <si>
    <t>flaws/mm</t>
  </si>
  <si>
    <t>P(X=2)</t>
  </si>
  <si>
    <t>P(X&lt;=5)</t>
  </si>
  <si>
    <t>sum</t>
  </si>
  <si>
    <t>10 flaws/5mm</t>
  </si>
  <si>
    <t>flaws/5mm</t>
  </si>
  <si>
    <t>P(X=10 flaws/5mm)</t>
  </si>
  <si>
    <t>P(X&gt;10 flaws/10mm)</t>
  </si>
  <si>
    <t>flaws/10mm</t>
  </si>
  <si>
    <t>&gt;10 flaws/10mm</t>
  </si>
  <si>
    <t>POISSON.DIST(2,B2, FALSE)</t>
  </si>
  <si>
    <t>B2*5</t>
  </si>
  <si>
    <t>B2*10</t>
  </si>
  <si>
    <t>variance</t>
  </si>
  <si>
    <t>mean</t>
  </si>
  <si>
    <t>NORM.DIST(0.02, 0, 1, TRUE)</t>
  </si>
  <si>
    <t>NORM.S.DIST(0.02, TRUE)</t>
  </si>
  <si>
    <t>Standard normal distribution is when mean is 0 and variance is 1</t>
  </si>
  <si>
    <t>convert from normal variable to be within the domain of standard normal distribution</t>
  </si>
  <si>
    <t>= (11-10) /2</t>
  </si>
  <si>
    <t>( X - mean ) / standard div</t>
  </si>
  <si>
    <t>1-0.99 = 0.01</t>
  </si>
  <si>
    <t>z=2.58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</si>
</sst>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 applyAlignment="1">
      <alignment horizontal="left"/>
    </xf>
    <xf numFmtId="0" fontId="2" fillId="0" borderId="1" xfId="0" applyFont="1" applyBorder="1" applyAlignment="1">
      <alignment horizontal="right"/>
    </xf>
    <xf numFmtId="165" fontId="2" fillId="3" borderId="1" xfId="0" applyNumberFormat="1" applyFont="1" applyFill="1" applyBorder="1" applyAlignment="1">
      <alignment horizontal="left"/>
    </xf>
    <xf numFmtId="0" fontId="3" fillId="2" borderId="0" xfId="0" applyFont="1" applyFill="1"/>
    <xf numFmtId="164" fontId="2" fillId="0" borderId="0" xfId="0" applyNumberFormat="1" applyFont="1"/>
    <xf numFmtId="0" fontId="2" fillId="0" borderId="0" xfId="0" applyFont="1"/>
    <xf numFmtId="164" fontId="2" fillId="3" borderId="1" xfId="0" applyNumberFormat="1" applyFont="1" applyFill="1" applyBorder="1"/>
    <xf numFmtId="0" fontId="2" fillId="0" borderId="0" xfId="0" quotePrefix="1" applyFont="1"/>
    <xf numFmtId="164" fontId="2" fillId="0" borderId="1" xfId="0" applyNumberFormat="1" applyFont="1" applyBorder="1" applyAlignment="1">
      <alignment horizontal="right"/>
    </xf>
    <xf numFmtId="0" fontId="5" fillId="2" borderId="0" xfId="0" applyFont="1" applyFill="1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left"/>
    </xf>
    <xf numFmtId="0" fontId="4" fillId="0" borderId="0" xfId="0" applyFont="1"/>
    <xf numFmtId="0" fontId="1" fillId="0" borderId="0" xfId="0" applyFont="1"/>
    <xf numFmtId="0" fontId="1" fillId="0" borderId="0" xfId="0" quotePrefix="1" applyFont="1"/>
    <xf numFmtId="164" fontId="1" fillId="3" borderId="1" xfId="0" applyNumberFormat="1" applyFont="1" applyFill="1" applyBorder="1"/>
    <xf numFmtId="16" fontId="1" fillId="0" borderId="0" xfId="0" quotePrefix="1" applyNumberFormat="1" applyFont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3ED9-CF7B-4298-9EF7-3D67594E1569}">
  <dimension ref="A1:E17"/>
  <sheetViews>
    <sheetView topLeftCell="A7" zoomScale="115" zoomScaleNormal="115" workbookViewId="0">
      <selection activeCell="B4" sqref="B4"/>
    </sheetView>
  </sheetViews>
  <sheetFormatPr defaultColWidth="8.81640625" defaultRowHeight="14.5" x14ac:dyDescent="0.35"/>
  <cols>
    <col min="1" max="1" width="18.453125" bestFit="1" customWidth="1"/>
    <col min="2" max="2" width="11.81640625" bestFit="1" customWidth="1"/>
    <col min="3" max="3" width="4.6328125" customWidth="1"/>
  </cols>
  <sheetData>
    <row r="1" spans="1:5" x14ac:dyDescent="0.35">
      <c r="A1" s="11" t="s">
        <v>24</v>
      </c>
    </row>
    <row r="2" spans="1:5" x14ac:dyDescent="0.35">
      <c r="A2" t="s">
        <v>25</v>
      </c>
      <c r="B2">
        <v>2.2999999999999998</v>
      </c>
      <c r="C2" t="s">
        <v>26</v>
      </c>
    </row>
    <row r="3" spans="1:5" x14ac:dyDescent="0.35">
      <c r="A3" s="12" t="s">
        <v>27</v>
      </c>
      <c r="B3" s="13">
        <f>_xlfn.POISSON.DIST(2,B2, FALSE)</f>
        <v>0.26518464164681593</v>
      </c>
      <c r="C3" t="s">
        <v>36</v>
      </c>
    </row>
    <row r="4" spans="1:5" x14ac:dyDescent="0.35">
      <c r="A4" s="12" t="s">
        <v>28</v>
      </c>
      <c r="B4" s="13">
        <f>_xlfn.POISSON.DIST(5,B2, TRUE)</f>
        <v>0.9700243063025451</v>
      </c>
      <c r="D4" s="14">
        <v>0</v>
      </c>
      <c r="E4">
        <f>_xlfn.POISSON.DIST(D4,$B$2, FALSE)</f>
        <v>0.10025884372280375</v>
      </c>
    </row>
    <row r="5" spans="1:5" x14ac:dyDescent="0.35">
      <c r="D5" s="14">
        <v>1</v>
      </c>
      <c r="E5">
        <f t="shared" ref="E5:E9" si="0">_xlfn.POISSON.DIST(D5,$B$2, FALSE)</f>
        <v>0.23059534056244857</v>
      </c>
    </row>
    <row r="6" spans="1:5" x14ac:dyDescent="0.35">
      <c r="D6" s="14">
        <v>2</v>
      </c>
      <c r="E6">
        <f t="shared" si="0"/>
        <v>0.26518464164681593</v>
      </c>
    </row>
    <row r="7" spans="1:5" x14ac:dyDescent="0.35">
      <c r="D7" s="14">
        <v>3</v>
      </c>
      <c r="E7">
        <f t="shared" si="0"/>
        <v>0.20330822526255887</v>
      </c>
    </row>
    <row r="8" spans="1:5" x14ac:dyDescent="0.35">
      <c r="D8" s="14">
        <v>4</v>
      </c>
      <c r="E8">
        <f t="shared" si="0"/>
        <v>0.11690222952597135</v>
      </c>
    </row>
    <row r="9" spans="1:5" x14ac:dyDescent="0.35">
      <c r="D9" s="14">
        <v>5</v>
      </c>
      <c r="E9">
        <f t="shared" si="0"/>
        <v>5.377502558194678E-2</v>
      </c>
    </row>
    <row r="10" spans="1:5" x14ac:dyDescent="0.35">
      <c r="D10" t="s">
        <v>29</v>
      </c>
      <c r="E10">
        <f>SUM(E4:E9)</f>
        <v>0.97002430630254521</v>
      </c>
    </row>
    <row r="11" spans="1:5" x14ac:dyDescent="0.35">
      <c r="A11" s="15" t="s">
        <v>30</v>
      </c>
    </row>
    <row r="12" spans="1:5" x14ac:dyDescent="0.35">
      <c r="A12" s="12" t="s">
        <v>25</v>
      </c>
      <c r="B12" s="13">
        <f>B2*5</f>
        <v>11.5</v>
      </c>
      <c r="C12" t="s">
        <v>31</v>
      </c>
      <c r="E12" t="s">
        <v>37</v>
      </c>
    </row>
    <row r="13" spans="1:5" x14ac:dyDescent="0.35">
      <c r="A13" s="12" t="s">
        <v>32</v>
      </c>
      <c r="B13" s="13">
        <f>_xlfn.POISSON.DIST(10, B12, FALSE)</f>
        <v>0.11293507088124352</v>
      </c>
    </row>
    <row r="15" spans="1:5" x14ac:dyDescent="0.35">
      <c r="A15" s="15" t="s">
        <v>35</v>
      </c>
    </row>
    <row r="16" spans="1:5" x14ac:dyDescent="0.35">
      <c r="A16" s="12" t="s">
        <v>25</v>
      </c>
      <c r="B16" s="13">
        <f>B2*10</f>
        <v>23</v>
      </c>
      <c r="C16" t="s">
        <v>34</v>
      </c>
      <c r="E16" t="s">
        <v>38</v>
      </c>
    </row>
    <row r="17" spans="1:2" x14ac:dyDescent="0.35">
      <c r="A17" s="12" t="s">
        <v>33</v>
      </c>
      <c r="B17" s="13">
        <f>1-_xlfn.POISSON.DIST(9, B16, TRUE)</f>
        <v>0.99919397972053825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7950-0915-478B-BD30-79A941DA3306}">
  <dimension ref="A1:F22"/>
  <sheetViews>
    <sheetView topLeftCell="A4" zoomScale="130" zoomScaleNormal="130" workbookViewId="0">
      <selection activeCell="B16" sqref="B16"/>
    </sheetView>
  </sheetViews>
  <sheetFormatPr defaultColWidth="8.6328125" defaultRowHeight="18" customHeight="1" x14ac:dyDescent="0.35"/>
  <cols>
    <col min="1" max="1" width="20.6328125" style="7" customWidth="1"/>
    <col min="2" max="2" width="10.6328125" style="6" customWidth="1"/>
    <col min="3" max="3" width="10.6328125" style="7" customWidth="1"/>
    <col min="4" max="6" width="8.6328125" style="7" customWidth="1"/>
    <col min="7" max="16384" width="8.6328125" style="7"/>
  </cols>
  <sheetData>
    <row r="1" spans="1:6" ht="18" customHeight="1" x14ac:dyDescent="0.35">
      <c r="A1" s="5" t="s">
        <v>7</v>
      </c>
    </row>
    <row r="2" spans="1:6" ht="18" customHeight="1" x14ac:dyDescent="0.35">
      <c r="A2" s="6" t="s">
        <v>19</v>
      </c>
      <c r="D2" s="16" t="s">
        <v>39</v>
      </c>
      <c r="E2" s="16" t="s">
        <v>40</v>
      </c>
    </row>
    <row r="3" spans="1:6" ht="18" customHeight="1" x14ac:dyDescent="0.35">
      <c r="A3" s="3" t="s">
        <v>9</v>
      </c>
      <c r="B3" s="8">
        <f>_xlfn.NORM.DIST(13, 10, 2, TRUE)</f>
        <v>0.93319279873114191</v>
      </c>
      <c r="C3" s="9"/>
      <c r="D3" s="7">
        <v>4</v>
      </c>
      <c r="E3" s="7">
        <v>10</v>
      </c>
    </row>
    <row r="4" spans="1:6" ht="18" customHeight="1" x14ac:dyDescent="0.35">
      <c r="A4" s="3" t="s">
        <v>8</v>
      </c>
      <c r="B4" s="8">
        <f>1-B3</f>
        <v>6.6807201268858085E-2</v>
      </c>
      <c r="C4" s="9"/>
    </row>
    <row r="5" spans="1:6" ht="18" customHeight="1" x14ac:dyDescent="0.35">
      <c r="A5" s="3" t="s">
        <v>20</v>
      </c>
      <c r="B5" s="8">
        <f>_xlfn.NORM.DIST(12, E3, SQRT(D3), TRUE) - _xlfn.NORM.DIST(8, E3, SQRT(D3), TRUE)</f>
        <v>0.68268949213708607</v>
      </c>
    </row>
    <row r="7" spans="1:6" ht="18" customHeight="1" x14ac:dyDescent="0.35">
      <c r="C7" s="9"/>
    </row>
    <row r="8" spans="1:6" ht="18" customHeight="1" x14ac:dyDescent="0.35">
      <c r="A8" s="5" t="s">
        <v>11</v>
      </c>
    </row>
    <row r="9" spans="1:6" ht="18" customHeight="1" x14ac:dyDescent="0.35">
      <c r="A9" s="3" t="s">
        <v>10</v>
      </c>
      <c r="B9" s="8">
        <f>_xlfn.NORM.DIST(0.02, 0, 1, TRUE)</f>
        <v>0.50797831371690205</v>
      </c>
      <c r="C9" s="17" t="s">
        <v>41</v>
      </c>
      <c r="F9" s="16" t="s">
        <v>43</v>
      </c>
    </row>
    <row r="10" spans="1:6" ht="18" customHeight="1" x14ac:dyDescent="0.35">
      <c r="A10" s="3" t="s">
        <v>10</v>
      </c>
      <c r="B10" s="8">
        <f>_xlfn.NORM.S.DIST(0.02, TRUE)</f>
        <v>0.50797831371690205</v>
      </c>
      <c r="C10" s="9" t="s">
        <v>42</v>
      </c>
    </row>
    <row r="11" spans="1:6" ht="18" customHeight="1" x14ac:dyDescent="0.35">
      <c r="B11" s="7"/>
      <c r="C11" s="9"/>
    </row>
    <row r="12" spans="1:6" ht="18" customHeight="1" x14ac:dyDescent="0.35">
      <c r="A12" s="7" t="s">
        <v>15</v>
      </c>
      <c r="C12" s="19" t="s">
        <v>45</v>
      </c>
      <c r="D12" s="16" t="s">
        <v>44</v>
      </c>
    </row>
    <row r="13" spans="1:6" ht="18" customHeight="1" x14ac:dyDescent="0.35">
      <c r="A13" s="7" t="s">
        <v>12</v>
      </c>
      <c r="D13" s="16" t="s">
        <v>46</v>
      </c>
    </row>
    <row r="14" spans="1:6" ht="18" customHeight="1" x14ac:dyDescent="0.35">
      <c r="A14" s="3" t="s">
        <v>13</v>
      </c>
      <c r="B14" s="8">
        <f>_xlfn.NORM.S.DIST(0.5, TRUE)</f>
        <v>0.69146246127401312</v>
      </c>
      <c r="C14" s="9"/>
    </row>
    <row r="15" spans="1:6" ht="18" customHeight="1" x14ac:dyDescent="0.35">
      <c r="A15" s="3" t="s">
        <v>14</v>
      </c>
      <c r="B15" s="8">
        <f>_xlfn.NORM.S.DIST(-0.5, TRUE)</f>
        <v>0.30853753872598688</v>
      </c>
      <c r="C15" s="9"/>
    </row>
    <row r="16" spans="1:6" ht="18" customHeight="1" x14ac:dyDescent="0.35">
      <c r="A16" s="3" t="s">
        <v>12</v>
      </c>
      <c r="B16" s="8">
        <f>B14-B15</f>
        <v>0.38292492254802624</v>
      </c>
      <c r="C16" s="9"/>
    </row>
    <row r="18" spans="1:3" ht="18" customHeight="1" x14ac:dyDescent="0.35">
      <c r="A18" s="7" t="s">
        <v>16</v>
      </c>
      <c r="B18" s="10" t="s">
        <v>21</v>
      </c>
      <c r="C18" s="8">
        <f>_xlfn.NORM.S.INV(0.98)</f>
        <v>2.0537489106318221</v>
      </c>
    </row>
    <row r="19" spans="1:3" ht="18" customHeight="1" x14ac:dyDescent="0.35">
      <c r="A19" s="7" t="s">
        <v>17</v>
      </c>
      <c r="B19" s="10" t="s">
        <v>22</v>
      </c>
      <c r="C19" s="8">
        <f>2*C18+10</f>
        <v>14.107497821263644</v>
      </c>
    </row>
    <row r="21" spans="1:3" ht="18" customHeight="1" x14ac:dyDescent="0.35">
      <c r="A21" s="3" t="s">
        <v>23</v>
      </c>
      <c r="B21" s="8">
        <f>1-_xlfn.NORM.S.DIST(2, TRUE)</f>
        <v>2.2750131948179209E-2</v>
      </c>
      <c r="C21" s="9"/>
    </row>
    <row r="22" spans="1:3" ht="18" customHeight="1" x14ac:dyDescent="0.35">
      <c r="A22" s="3" t="s">
        <v>18</v>
      </c>
      <c r="B22" s="18">
        <f>_xlfn.NORM.S.DIST(-2, TRUE)</f>
        <v>2.2750131948179191E-2</v>
      </c>
      <c r="C22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88EE-10A4-452A-84F0-3D55D1ADE700}">
  <dimension ref="A1:B9"/>
  <sheetViews>
    <sheetView tabSelected="1" zoomScale="130" zoomScaleNormal="130" workbookViewId="0">
      <selection activeCell="B10" sqref="B10"/>
    </sheetView>
  </sheetViews>
  <sheetFormatPr defaultColWidth="8.81640625" defaultRowHeight="18" customHeight="1" x14ac:dyDescent="0.35"/>
  <cols>
    <col min="1" max="1" width="30.6328125" style="1" customWidth="1"/>
    <col min="2" max="2" width="20.6328125" style="2" customWidth="1"/>
  </cols>
  <sheetData>
    <row r="1" spans="1:2" ht="18" customHeight="1" x14ac:dyDescent="0.35">
      <c r="A1" s="3" t="s">
        <v>0</v>
      </c>
      <c r="B1" s="4">
        <f>1-_xlfn.NORM.S.DIST(1.26, TRUE)</f>
        <v>0.10383468112130034</v>
      </c>
    </row>
    <row r="2" spans="1:2" ht="18" customHeight="1" x14ac:dyDescent="0.35">
      <c r="A2" s="3" t="s">
        <v>1</v>
      </c>
      <c r="B2" s="4"/>
    </row>
    <row r="3" spans="1:2" ht="18" customHeight="1" x14ac:dyDescent="0.35">
      <c r="A3" s="3" t="s">
        <v>2</v>
      </c>
      <c r="B3" s="4"/>
    </row>
    <row r="4" spans="1:2" ht="18" customHeight="1" x14ac:dyDescent="0.35">
      <c r="A4" s="3" t="s">
        <v>3</v>
      </c>
      <c r="B4" s="4">
        <f>_xlfn.NORM.S.DIST(0.37, TRUE) - _xlfn.NORM.S.DIST(-1.25, TRUE)</f>
        <v>0.53865898113369159</v>
      </c>
    </row>
    <row r="5" spans="1:2" ht="18" customHeight="1" x14ac:dyDescent="0.35">
      <c r="A5" s="3" t="s">
        <v>4</v>
      </c>
      <c r="B5" s="4">
        <f>_xlfn.NORM.S.DIST(-4.6, TRUE)</f>
        <v>2.1124547025028533E-6</v>
      </c>
    </row>
    <row r="6" spans="1:2" ht="18" customHeight="1" x14ac:dyDescent="0.35">
      <c r="A6" s="3" t="s">
        <v>5</v>
      </c>
      <c r="B6" s="4">
        <f>_xlfn.NORM.S.INV(0.05)</f>
        <v>-1.6448536269514726</v>
      </c>
    </row>
    <row r="7" spans="1:2" ht="18" customHeight="1" x14ac:dyDescent="0.35">
      <c r="A7" s="20" t="s">
        <v>6</v>
      </c>
      <c r="B7" s="4"/>
    </row>
    <row r="8" spans="1:2" ht="18" customHeight="1" x14ac:dyDescent="0.35">
      <c r="A8" s="1" t="s">
        <v>47</v>
      </c>
      <c r="B8" s="2">
        <f>_xlfn.NORM.S.INV(0.995)</f>
        <v>2.5758293035488999</v>
      </c>
    </row>
    <row r="9" spans="1:2" ht="18" customHeight="1" x14ac:dyDescent="0.35">
      <c r="B9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2022-05-15T15:37:24Z</dcterms:created>
  <dcterms:modified xsi:type="dcterms:W3CDTF">2026-06-02T02:21:59Z</dcterms:modified>
</cp:coreProperties>
</file>