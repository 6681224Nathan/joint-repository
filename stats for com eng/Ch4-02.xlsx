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/Desktop/joint-repository/stats for com eng/"/>
    </mc:Choice>
  </mc:AlternateContent>
  <xr:revisionPtr revIDLastSave="0" documentId="13_ncr:1_{EBEBC2DF-322F-3645-B087-49B6D2CD6244}" xr6:coauthVersionLast="47" xr6:coauthVersionMax="47" xr10:uidLastSave="{00000000-0000-0000-0000-000000000000}"/>
  <bookViews>
    <workbookView xWindow="0" yWindow="600" windowWidth="24080" windowHeight="13280" activeTab="1" xr2:uid="{4C1FC052-56B3-4703-985E-36351D15350F}"/>
  </bookViews>
  <sheets>
    <sheet name="Sheet1" sheetId="1" r:id="rId1"/>
    <sheet name="Sheet2" sheetId="2" r:id="rId2"/>
  </sheets>
  <definedNames>
    <definedName name="_xlchart.v1.0" hidden="1">Sheet1!$A$3</definedName>
    <definedName name="_xlchart.v1.1" hidden="1">Sheet1!$A$4:$A$25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0" i="2"/>
  <c r="B8" i="2"/>
  <c r="D24" i="1"/>
  <c r="D25" i="1"/>
  <c r="I23" i="1"/>
  <c r="D23" i="1"/>
  <c r="D21" i="1"/>
  <c r="D17" i="1"/>
  <c r="D16" i="1"/>
  <c r="D20" i="1"/>
  <c r="D22" i="1" l="1"/>
</calcChain>
</file>

<file path=xl/sharedStrings.xml><?xml version="1.0" encoding="utf-8"?>
<sst xmlns="http://schemas.openxmlformats.org/spreadsheetml/2006/main" count="24" uniqueCount="22">
  <si>
    <t>Alloy Adhesion</t>
  </si>
  <si>
    <t>Load (megapascals)</t>
  </si>
  <si>
    <t>Sample Mean</t>
  </si>
  <si>
    <t>Sample S.D.</t>
  </si>
  <si>
    <t>CI</t>
  </si>
  <si>
    <t>n</t>
  </si>
  <si>
    <t>d.f.</t>
  </si>
  <si>
    <t>Detergent Filling</t>
  </si>
  <si>
    <t>Sample Size</t>
  </si>
  <si>
    <r>
      <t>Sample Variance (s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</si>
  <si>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Alpha 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</rPr>
      <t>)</t>
    </r>
  </si>
  <si>
    <r>
      <t>Alpha/2 (</t>
    </r>
    <r>
      <rPr>
        <sz val="11"/>
        <color theme="1"/>
        <rFont val="Symbol"/>
        <family val="1"/>
        <charset val="2"/>
      </rPr>
      <t>a/2</t>
    </r>
    <r>
      <rPr>
        <sz val="11"/>
        <color theme="1"/>
        <rFont val="Calibri"/>
        <family val="2"/>
      </rPr>
      <t>)</t>
    </r>
  </si>
  <si>
    <r>
      <t>Chi-square (</t>
    </r>
    <r>
      <rPr>
        <sz val="11"/>
        <color theme="1"/>
        <rFont val="Symbol"/>
        <family val="1"/>
        <charset val="2"/>
      </rPr>
      <t>c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  <scheme val="minor"/>
      </rPr>
      <t>)</t>
    </r>
  </si>
  <si>
    <t>Upper Confidence Bound of Variance</t>
  </si>
  <si>
    <t>Upper Confidence Bound of Standard Deviation</t>
  </si>
  <si>
    <t>Confident Interval (CI)</t>
  </si>
  <si>
    <t>Lower Confidence Bound</t>
  </si>
  <si>
    <t>Upper Confidence Bound</t>
  </si>
  <si>
    <t>Gap that hasn't been covered</t>
  </si>
  <si>
    <t>t (alpha/2)</t>
  </si>
  <si>
    <t>=T.INV(1-D20, D21-1)</t>
  </si>
  <si>
    <t>=T.INV.2T(D19, D21-1)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</si>
</sst>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boxWhisker" uniqueId="{F2886E6D-E392-4ECF-A49B-C36E1E8B2424}">
          <cx:tx>
            <cx:txData>
              <cx:f>_xlchart.v1.0</cx:f>
              <cx:v>Load (megapascals)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</xdr:colOff>
      <xdr:row>2</xdr:row>
      <xdr:rowOff>47625</xdr:rowOff>
    </xdr:from>
    <xdr:to>
      <xdr:col>3</xdr:col>
      <xdr:colOff>266700</xdr:colOff>
      <xdr:row>13</xdr:row>
      <xdr:rowOff>149225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B729C7C-BD77-4B7C-AE96-9D8C5E42DD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2000" y="428625"/>
              <a:ext cx="2095500" cy="219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22478</xdr:colOff>
      <xdr:row>2</xdr:row>
      <xdr:rowOff>78672</xdr:rowOff>
    </xdr:from>
    <xdr:to>
      <xdr:col>16</xdr:col>
      <xdr:colOff>377179</xdr:colOff>
      <xdr:row>16</xdr:row>
      <xdr:rowOff>62783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F299BA-DB7A-3973-CFD0-84B335332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7345" y="460796"/>
          <a:ext cx="7772400" cy="2658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28576</xdr:colOff>
      <xdr:row>2</xdr:row>
      <xdr:rowOff>57150</xdr:rowOff>
    </xdr:from>
    <xdr:to>
      <xdr:col>8</xdr:col>
      <xdr:colOff>596900</xdr:colOff>
      <xdr:row>7</xdr:row>
      <xdr:rowOff>86690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183572-6445-4048-BA94-4E1902BF7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1" y="419100"/>
          <a:ext cx="3749674" cy="991565"/>
        </a:xfrm>
        <a:prstGeom prst="rect">
          <a:avLst/>
        </a:prstGeom>
      </xdr:spPr>
    </xdr:pic>
    <xdr:clientData/>
  </xdr:twoCellAnchor>
  <xdr:twoCellAnchor editAs="oneCell">
    <xdr:from>
      <xdr:col>4</xdr:col>
      <xdr:colOff>492125</xdr:colOff>
      <xdr:row>8</xdr:row>
      <xdr:rowOff>66676</xdr:rowOff>
    </xdr:from>
    <xdr:to>
      <xdr:col>8</xdr:col>
      <xdr:colOff>574288</xdr:colOff>
      <xdr:row>17</xdr:row>
      <xdr:rowOff>85726</xdr:rowOff>
    </xdr:to>
    <xdr:pic>
      <xdr:nvPicPr>
        <xdr:cNvPr id="5" name="Picture 4" descr="Chi-Square Table - Statistics By Jim">
          <a:extLst>
            <a:ext uri="{FF2B5EF4-FFF2-40B4-BE49-F238E27FC236}">
              <a16:creationId xmlns:a16="http://schemas.microsoft.com/office/drawing/2014/main" id="{30C483FC-6AAD-4612-BE27-EAFB5E7B6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9250" y="1600201"/>
          <a:ext cx="2520563" cy="164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2238-E478-4ADE-8648-F55CB59CD0D4}">
  <dimension ref="A1:J25"/>
  <sheetViews>
    <sheetView topLeftCell="B16" zoomScale="179" workbookViewId="0">
      <selection activeCell="D24" sqref="D24"/>
    </sheetView>
  </sheetViews>
  <sheetFormatPr baseColWidth="10" defaultColWidth="8.83203125" defaultRowHeight="15" x14ac:dyDescent="0.2"/>
  <cols>
    <col min="1" max="1" width="17.5" bestFit="1" customWidth="1"/>
    <col min="3" max="3" width="24.33203125" customWidth="1"/>
  </cols>
  <sheetData>
    <row r="1" spans="1:4" x14ac:dyDescent="0.2">
      <c r="A1" s="7" t="s">
        <v>0</v>
      </c>
    </row>
    <row r="3" spans="1:4" x14ac:dyDescent="0.2">
      <c r="A3" s="2" t="s">
        <v>1</v>
      </c>
    </row>
    <row r="4" spans="1:4" x14ac:dyDescent="0.2">
      <c r="A4" s="1">
        <v>19.8</v>
      </c>
    </row>
    <row r="5" spans="1:4" x14ac:dyDescent="0.2">
      <c r="A5" s="1">
        <v>15.4</v>
      </c>
    </row>
    <row r="6" spans="1:4" x14ac:dyDescent="0.2">
      <c r="A6" s="1">
        <v>11.4</v>
      </c>
    </row>
    <row r="7" spans="1:4" x14ac:dyDescent="0.2">
      <c r="A7" s="1">
        <v>19.5</v>
      </c>
    </row>
    <row r="8" spans="1:4" x14ac:dyDescent="0.2">
      <c r="A8" s="1">
        <v>10.1</v>
      </c>
    </row>
    <row r="9" spans="1:4" x14ac:dyDescent="0.2">
      <c r="A9" s="1">
        <v>18.5</v>
      </c>
    </row>
    <row r="10" spans="1:4" x14ac:dyDescent="0.2">
      <c r="A10" s="1">
        <v>14.1</v>
      </c>
    </row>
    <row r="11" spans="1:4" x14ac:dyDescent="0.2">
      <c r="A11" s="1">
        <v>8.8000000000000007</v>
      </c>
    </row>
    <row r="12" spans="1:4" x14ac:dyDescent="0.2">
      <c r="A12" s="1">
        <v>14.9</v>
      </c>
    </row>
    <row r="13" spans="1:4" x14ac:dyDescent="0.2">
      <c r="A13" s="1">
        <v>7.9</v>
      </c>
    </row>
    <row r="14" spans="1:4" x14ac:dyDescent="0.2">
      <c r="A14" s="1">
        <v>17.600000000000001</v>
      </c>
    </row>
    <row r="15" spans="1:4" x14ac:dyDescent="0.2">
      <c r="A15" s="1">
        <v>13.6</v>
      </c>
    </row>
    <row r="16" spans="1:4" x14ac:dyDescent="0.2">
      <c r="A16" s="1">
        <v>7.5</v>
      </c>
      <c r="C16" s="3" t="s">
        <v>2</v>
      </c>
      <c r="D16" s="6">
        <f>AVERAGE(A4:A25)</f>
        <v>13.713636363636358</v>
      </c>
    </row>
    <row r="17" spans="1:10" x14ac:dyDescent="0.2">
      <c r="A17" s="1">
        <v>12.7</v>
      </c>
      <c r="C17" s="3" t="s">
        <v>3</v>
      </c>
      <c r="D17" s="6">
        <f>_xlfn.STDEV.S(A4:A25)</f>
        <v>3.5535757249424997</v>
      </c>
    </row>
    <row r="18" spans="1:10" x14ac:dyDescent="0.2">
      <c r="A18" s="1">
        <v>16.7</v>
      </c>
      <c r="C18" s="3" t="s">
        <v>4</v>
      </c>
      <c r="D18" s="4">
        <v>0.95</v>
      </c>
    </row>
    <row r="19" spans="1:10" x14ac:dyDescent="0.2">
      <c r="A19" s="1">
        <v>11.9</v>
      </c>
      <c r="C19" s="3" t="s">
        <v>10</v>
      </c>
      <c r="D19" s="5">
        <v>0.05</v>
      </c>
      <c r="E19" t="s">
        <v>18</v>
      </c>
    </row>
    <row r="20" spans="1:10" x14ac:dyDescent="0.2">
      <c r="A20" s="1">
        <v>15.4</v>
      </c>
      <c r="C20" s="3" t="s">
        <v>11</v>
      </c>
      <c r="D20" s="3">
        <f>D19/2</f>
        <v>2.5000000000000001E-2</v>
      </c>
    </row>
    <row r="21" spans="1:10" x14ac:dyDescent="0.2">
      <c r="A21" s="1">
        <v>11.9</v>
      </c>
      <c r="C21" s="3" t="s">
        <v>5</v>
      </c>
      <c r="D21" s="5">
        <f>COUNT(A4:A25)</f>
        <v>22</v>
      </c>
    </row>
    <row r="22" spans="1:10" x14ac:dyDescent="0.2">
      <c r="A22" s="1">
        <v>15.8</v>
      </c>
      <c r="C22" s="3" t="s">
        <v>6</v>
      </c>
      <c r="D22" s="3">
        <f>D21-1</f>
        <v>21</v>
      </c>
    </row>
    <row r="23" spans="1:10" x14ac:dyDescent="0.2">
      <c r="A23" s="1">
        <v>11.4</v>
      </c>
      <c r="C23" s="3" t="s">
        <v>19</v>
      </c>
      <c r="D23" s="6">
        <f>_xlfn.T.INV(1-D20, D21-1)</f>
        <v>2.07961384472768</v>
      </c>
      <c r="E23" s="10" t="s">
        <v>20</v>
      </c>
      <c r="I23">
        <f>_xlfn.T.INV.2T(D19, D21-1)</f>
        <v>2.07961384472768</v>
      </c>
      <c r="J23" s="10" t="s">
        <v>21</v>
      </c>
    </row>
    <row r="24" spans="1:10" x14ac:dyDescent="0.2">
      <c r="A24" s="1">
        <v>15.4</v>
      </c>
      <c r="C24" s="3" t="s">
        <v>16</v>
      </c>
      <c r="D24" s="6">
        <f>D16-D23*D17/SQRT(D21)</f>
        <v>12.138069152904313</v>
      </c>
    </row>
    <row r="25" spans="1:10" x14ac:dyDescent="0.2">
      <c r="A25" s="1">
        <v>11.4</v>
      </c>
      <c r="C25" s="3" t="s">
        <v>17</v>
      </c>
      <c r="D25" s="6">
        <f>D16+D23*D17/SQRT(D21)</f>
        <v>15.289203574368402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4E87-E7D3-44EF-8D4F-CFD7AAE28FEB}">
  <dimension ref="A1:D11"/>
  <sheetViews>
    <sheetView tabSelected="1" zoomScale="106" workbookViewId="0">
      <selection activeCell="D12" sqref="D12"/>
    </sheetView>
  </sheetViews>
  <sheetFormatPr baseColWidth="10" defaultColWidth="8.83203125" defaultRowHeight="15" x14ac:dyDescent="0.2"/>
  <cols>
    <col min="1" max="1" width="20.6640625" customWidth="1"/>
    <col min="2" max="4" width="10.6640625" customWidth="1"/>
  </cols>
  <sheetData>
    <row r="1" spans="1:4" x14ac:dyDescent="0.2">
      <c r="A1" s="7" t="s">
        <v>7</v>
      </c>
    </row>
    <row r="3" spans="1:4" x14ac:dyDescent="0.2">
      <c r="A3" s="3" t="s">
        <v>8</v>
      </c>
      <c r="B3" s="3">
        <v>20</v>
      </c>
    </row>
    <row r="4" spans="1:4" ht="17" x14ac:dyDescent="0.2">
      <c r="A4" s="3" t="s">
        <v>9</v>
      </c>
      <c r="B4" s="3">
        <v>1.5299999999999999E-2</v>
      </c>
    </row>
    <row r="5" spans="1:4" x14ac:dyDescent="0.2">
      <c r="A5" s="3" t="s">
        <v>15</v>
      </c>
      <c r="B5" s="4">
        <v>0.95</v>
      </c>
    </row>
    <row r="6" spans="1:4" x14ac:dyDescent="0.2">
      <c r="A6" s="3" t="s">
        <v>10</v>
      </c>
      <c r="B6" s="5">
        <v>0.05</v>
      </c>
    </row>
    <row r="7" spans="1:4" x14ac:dyDescent="0.2">
      <c r="A7" s="3" t="s">
        <v>6</v>
      </c>
      <c r="B7" s="5">
        <v>19</v>
      </c>
    </row>
    <row r="8" spans="1:4" ht="17" x14ac:dyDescent="0.2">
      <c r="A8" s="3" t="s">
        <v>12</v>
      </c>
      <c r="B8" s="6">
        <f>_xlfn.CHISQ.INV.RT(1-B6, B7)</f>
        <v>10.117013063859044</v>
      </c>
    </row>
    <row r="10" spans="1:4" x14ac:dyDescent="0.2">
      <c r="A10" s="9" t="s">
        <v>13</v>
      </c>
      <c r="B10" s="9"/>
      <c r="C10" s="9"/>
      <c r="D10" s="6">
        <f>(B3-1)*B4/B8</f>
        <v>2.8733777268556287E-2</v>
      </c>
    </row>
    <row r="11" spans="1:4" x14ac:dyDescent="0.2">
      <c r="A11" s="8" t="s">
        <v>14</v>
      </c>
      <c r="B11" s="8"/>
      <c r="C11" s="8"/>
      <c r="D11" s="6">
        <f>SQRT(D10)</f>
        <v>0.16951040460265643</v>
      </c>
    </row>
  </sheetData>
  <mergeCells count="1">
    <mergeCell ref="A10:C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NATHAN TANABORIBOON</cp:lastModifiedBy>
  <dcterms:created xsi:type="dcterms:W3CDTF">2022-05-28T04:07:42Z</dcterms:created>
  <dcterms:modified xsi:type="dcterms:W3CDTF">2026-05-26T05:12:27Z</dcterms:modified>
</cp:coreProperties>
</file>