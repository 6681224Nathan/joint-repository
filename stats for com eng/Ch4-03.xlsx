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"/>
    </mc:Choice>
  </mc:AlternateContent>
  <xr:revisionPtr revIDLastSave="0" documentId="13_ncr:1_{9D5D515A-A943-3548-982E-DA4FBE14448C}" xr6:coauthVersionLast="47" xr6:coauthVersionMax="47" xr10:uidLastSave="{00000000-0000-0000-0000-000000000000}"/>
  <bookViews>
    <workbookView xWindow="0" yWindow="600" windowWidth="24080" windowHeight="13180" activeTab="2" xr2:uid="{4C1FC052-56B3-4703-985E-36351D15350F}"/>
  </bookViews>
  <sheets>
    <sheet name="Sheet1" sheetId="5" r:id="rId1"/>
    <sheet name="Sheet2" sheetId="3" r:id="rId2"/>
    <sheet name="Sheet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E11" i="6"/>
  <c r="B11" i="3"/>
  <c r="E5" i="6"/>
  <c r="E9" i="6"/>
  <c r="E4" i="6"/>
  <c r="E3" i="6"/>
  <c r="B49" i="3"/>
  <c r="B42" i="3"/>
  <c r="B29" i="3"/>
  <c r="B24" i="3"/>
  <c r="B25" i="3"/>
  <c r="B14" i="3"/>
  <c r="B12" i="3"/>
  <c r="B9" i="3"/>
  <c r="B5" i="3"/>
  <c r="G22" i="5"/>
  <c r="G21" i="5"/>
  <c r="G20" i="5"/>
  <c r="G19" i="5"/>
  <c r="E17" i="5"/>
  <c r="E12" i="5"/>
  <c r="E11" i="5"/>
  <c r="E8" i="6"/>
  <c r="E16" i="5" l="1"/>
  <c r="J17" i="5" s="1"/>
  <c r="B28" i="3"/>
  <c r="B41" i="3" l="1"/>
  <c r="B40" i="3"/>
  <c r="B8" i="3"/>
  <c r="B39" i="3" l="1"/>
</calcChain>
</file>

<file path=xl/sharedStrings.xml><?xml version="1.0" encoding="utf-8"?>
<sst xmlns="http://schemas.openxmlformats.org/spreadsheetml/2006/main" count="94" uniqueCount="51">
  <si>
    <r>
      <t>Alpha 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)</t>
    </r>
  </si>
  <si>
    <r>
      <t>Alpha/2 (</t>
    </r>
    <r>
      <rPr>
        <sz val="11"/>
        <color theme="1"/>
        <rFont val="Symbol"/>
        <family val="1"/>
        <charset val="2"/>
      </rPr>
      <t>a/2</t>
    </r>
    <r>
      <rPr>
        <sz val="11"/>
        <color theme="1"/>
        <rFont val="Calibri"/>
        <family val="2"/>
      </rPr>
      <t>)</t>
    </r>
  </si>
  <si>
    <t>Confident Interval (CI)</t>
  </si>
  <si>
    <t>Crankshaft Bearings</t>
  </si>
  <si>
    <t>Sample Size (n)</t>
  </si>
  <si>
    <t># Success (x)</t>
  </si>
  <si>
    <t>Sample Proportion</t>
  </si>
  <si>
    <r>
      <t>z(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/2)</t>
    </r>
  </si>
  <si>
    <t>Lower Confidence Bound</t>
  </si>
  <si>
    <r>
      <t>z(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)</t>
    </r>
  </si>
  <si>
    <t>Upper Confidence Bound</t>
  </si>
  <si>
    <t>How large a sample is required if we want 95% confident that the error in proportion estimation is less than 0.05?</t>
  </si>
  <si>
    <t>E</t>
  </si>
  <si>
    <t>p</t>
  </si>
  <si>
    <r>
      <t xml:space="preserve">n (Sample Size) </t>
    </r>
    <r>
      <rPr>
        <sz val="11"/>
        <color theme="1"/>
        <rFont val="Symbol"/>
        <family val="1"/>
        <charset val="2"/>
      </rPr>
      <t>»</t>
    </r>
  </si>
  <si>
    <t xml:space="preserve">n = </t>
  </si>
  <si>
    <t>(must be integer)</t>
  </si>
  <si>
    <t>Name</t>
  </si>
  <si>
    <t>Height</t>
  </si>
  <si>
    <t>Techo</t>
  </si>
  <si>
    <t>Lavish</t>
  </si>
  <si>
    <t>Kim</t>
  </si>
  <si>
    <t>Matt</t>
  </si>
  <si>
    <t>Pin</t>
  </si>
  <si>
    <t>Earth</t>
  </si>
  <si>
    <t>Phufah</t>
  </si>
  <si>
    <t>Thann</t>
  </si>
  <si>
    <t>Fluke</t>
  </si>
  <si>
    <t>Fuse</t>
  </si>
  <si>
    <t>Win</t>
  </si>
  <si>
    <t>Noon</t>
  </si>
  <si>
    <t>Jean</t>
  </si>
  <si>
    <t>Amy</t>
  </si>
  <si>
    <t>KJ</t>
  </si>
  <si>
    <t>Phu</t>
  </si>
  <si>
    <t>Aki</t>
  </si>
  <si>
    <t>Phin</t>
  </si>
  <si>
    <t>Bun</t>
  </si>
  <si>
    <t>Amro</t>
  </si>
  <si>
    <t>Sample Size</t>
  </si>
  <si>
    <r>
      <t>Sample Variance (s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</si>
  <si>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d.f.</t>
  </si>
  <si>
    <t>Lower Confidence Bound of Variance</t>
  </si>
  <si>
    <t>Upper Confidence Bound of Variance</t>
  </si>
  <si>
    <t>Lower Confidence Bound of Standard Deviation</t>
  </si>
  <si>
    <t>Upper Confidence Bound of Standard Deviation</t>
  </si>
  <si>
    <t>Nmber of students that are taller than or equal to 170</t>
  </si>
  <si>
    <t>B2 -&gt; B22</t>
  </si>
  <si>
    <r>
      <t>Chi-square (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) (alpha/2)</t>
    </r>
  </si>
  <si>
    <t>Chi-square (c^2)(1-alpha/2)</t>
  </si>
  <si>
    <t>z(alpha)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</si>
</sst>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1" fillId="0" borderId="0" xfId="0" applyFont="1"/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0" fontId="1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0</xdr:row>
      <xdr:rowOff>34925</xdr:rowOff>
    </xdr:from>
    <xdr:to>
      <xdr:col>6</xdr:col>
      <xdr:colOff>467831</xdr:colOff>
      <xdr:row>8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F155B-F04E-4878-B4E3-D104A14BA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4200" y="34925"/>
          <a:ext cx="4068281" cy="1562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323849</xdr:colOff>
      <xdr:row>1</xdr:row>
      <xdr:rowOff>171450</xdr:rowOff>
    </xdr:from>
    <xdr:to>
      <xdr:col>9</xdr:col>
      <xdr:colOff>124188</xdr:colOff>
      <xdr:row>8</xdr:row>
      <xdr:rowOff>186503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E9307F-A200-4401-8946-AEA527D76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074" y="352425"/>
          <a:ext cx="4064364" cy="1276350"/>
        </a:xfrm>
        <a:prstGeom prst="rect">
          <a:avLst/>
        </a:prstGeom>
      </xdr:spPr>
    </xdr:pic>
    <xdr:clientData/>
  </xdr:twoCellAnchor>
  <xdr:twoCellAnchor editAs="oneCell">
    <xdr:from>
      <xdr:col>0</xdr:col>
      <xdr:colOff>14381</xdr:colOff>
      <xdr:row>15</xdr:row>
      <xdr:rowOff>100855</xdr:rowOff>
    </xdr:from>
    <xdr:to>
      <xdr:col>5</xdr:col>
      <xdr:colOff>436910</xdr:colOff>
      <xdr:row>21</xdr:row>
      <xdr:rowOff>145679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5D944D-7E93-4CAB-9F04-E60AAC53C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1" y="2790267"/>
          <a:ext cx="4759766" cy="1117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9525</xdr:rowOff>
    </xdr:from>
    <xdr:to>
      <xdr:col>5</xdr:col>
      <xdr:colOff>420622</xdr:colOff>
      <xdr:row>35</xdr:row>
      <xdr:rowOff>145561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6EFABE-B218-4310-8E6F-FC66B94C5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71063"/>
          <a:ext cx="4772814" cy="6792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25156</xdr:rowOff>
    </xdr:from>
    <xdr:to>
      <xdr:col>5</xdr:col>
      <xdr:colOff>354868</xdr:colOff>
      <xdr:row>47</xdr:row>
      <xdr:rowOff>802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748D7E-5C94-4F69-B3E6-CA784A7D8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901598"/>
          <a:ext cx="4703885" cy="705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523785</xdr:colOff>
      <xdr:row>2</xdr:row>
      <xdr:rowOff>129152</xdr:rowOff>
    </xdr:from>
    <xdr:to>
      <xdr:col>12</xdr:col>
      <xdr:colOff>327636</xdr:colOff>
      <xdr:row>9</xdr:row>
      <xdr:rowOff>93629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DFCF3-71F7-5146-AED6-D69A75447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7175" y="516610"/>
          <a:ext cx="4525094" cy="1320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F95D-638A-405A-8C2A-B0F39753FFAB}">
  <dimension ref="A1:J22"/>
  <sheetViews>
    <sheetView topLeftCell="A11" zoomScale="150" zoomScaleNormal="92" workbookViewId="0">
      <selection activeCell="G23" sqref="G23"/>
    </sheetView>
  </sheetViews>
  <sheetFormatPr baseColWidth="10" defaultColWidth="8.83203125" defaultRowHeight="15" x14ac:dyDescent="0.2"/>
  <cols>
    <col min="4" max="4" width="34.5" customWidth="1"/>
    <col min="7" max="7" width="11.6640625" bestFit="1" customWidth="1"/>
  </cols>
  <sheetData>
    <row r="1" spans="1:6" x14ac:dyDescent="0.2">
      <c r="A1" s="9" t="s">
        <v>17</v>
      </c>
      <c r="B1" s="9" t="s">
        <v>18</v>
      </c>
    </row>
    <row r="2" spans="1:6" x14ac:dyDescent="0.2">
      <c r="A2" s="10" t="s">
        <v>19</v>
      </c>
      <c r="B2" s="10">
        <v>173</v>
      </c>
    </row>
    <row r="3" spans="1:6" x14ac:dyDescent="0.2">
      <c r="A3" s="10" t="s">
        <v>20</v>
      </c>
      <c r="B3" s="10">
        <v>166</v>
      </c>
    </row>
    <row r="4" spans="1:6" x14ac:dyDescent="0.2">
      <c r="A4" s="10" t="s">
        <v>21</v>
      </c>
      <c r="B4" s="10">
        <v>180</v>
      </c>
    </row>
    <row r="5" spans="1:6" x14ac:dyDescent="0.2">
      <c r="A5" s="10" t="s">
        <v>22</v>
      </c>
      <c r="B5" s="10">
        <v>185</v>
      </c>
    </row>
    <row r="6" spans="1:6" x14ac:dyDescent="0.2">
      <c r="A6" s="10" t="s">
        <v>23</v>
      </c>
      <c r="B6" s="10">
        <v>177</v>
      </c>
    </row>
    <row r="7" spans="1:6" x14ac:dyDescent="0.2">
      <c r="A7" s="10" t="s">
        <v>21</v>
      </c>
      <c r="B7" s="10">
        <v>168</v>
      </c>
    </row>
    <row r="8" spans="1:6" x14ac:dyDescent="0.2">
      <c r="A8" s="10" t="s">
        <v>24</v>
      </c>
      <c r="B8" s="10">
        <v>154</v>
      </c>
    </row>
    <row r="9" spans="1:6" x14ac:dyDescent="0.2">
      <c r="A9" s="10" t="s">
        <v>25</v>
      </c>
      <c r="B9" s="10">
        <v>175</v>
      </c>
    </row>
    <row r="10" spans="1:6" x14ac:dyDescent="0.2">
      <c r="A10" s="10" t="s">
        <v>26</v>
      </c>
      <c r="B10" s="10">
        <v>177</v>
      </c>
    </row>
    <row r="11" spans="1:6" x14ac:dyDescent="0.2">
      <c r="A11" s="10" t="s">
        <v>27</v>
      </c>
      <c r="B11" s="10">
        <v>175</v>
      </c>
      <c r="D11" s="1" t="s">
        <v>39</v>
      </c>
      <c r="E11" s="3">
        <f>COUNT(B2:B22)</f>
        <v>21</v>
      </c>
      <c r="F11" t="s">
        <v>47</v>
      </c>
    </row>
    <row r="12" spans="1:6" ht="17" x14ac:dyDescent="0.2">
      <c r="A12" s="10" t="s">
        <v>28</v>
      </c>
      <c r="B12" s="10">
        <v>171</v>
      </c>
      <c r="D12" s="1" t="s">
        <v>40</v>
      </c>
      <c r="E12" s="3">
        <f>_xlfn.VAR.S(B2:B22)</f>
        <v>48.257142857142853</v>
      </c>
    </row>
    <row r="13" spans="1:6" x14ac:dyDescent="0.2">
      <c r="A13" s="10" t="s">
        <v>29</v>
      </c>
      <c r="B13" s="10">
        <v>171</v>
      </c>
      <c r="D13" s="1" t="s">
        <v>2</v>
      </c>
      <c r="E13" s="2">
        <v>0.99</v>
      </c>
    </row>
    <row r="14" spans="1:6" x14ac:dyDescent="0.2">
      <c r="A14" s="10" t="s">
        <v>30</v>
      </c>
      <c r="B14" s="10">
        <v>168</v>
      </c>
      <c r="D14" s="1" t="s">
        <v>0</v>
      </c>
      <c r="E14" s="3">
        <v>0.01</v>
      </c>
    </row>
    <row r="15" spans="1:6" x14ac:dyDescent="0.2">
      <c r="A15" s="10" t="s">
        <v>31</v>
      </c>
      <c r="B15" s="10">
        <v>164</v>
      </c>
      <c r="D15" s="1" t="s">
        <v>1</v>
      </c>
      <c r="E15" s="3">
        <v>5.0000000000000001E-3</v>
      </c>
    </row>
    <row r="16" spans="1:6" x14ac:dyDescent="0.2">
      <c r="A16" s="10" t="s">
        <v>32</v>
      </c>
      <c r="B16" s="10">
        <v>163</v>
      </c>
      <c r="D16" s="1" t="s">
        <v>41</v>
      </c>
      <c r="E16" s="3">
        <f>E11-1</f>
        <v>20</v>
      </c>
    </row>
    <row r="17" spans="1:10" ht="17" x14ac:dyDescent="0.2">
      <c r="A17" s="10" t="s">
        <v>33</v>
      </c>
      <c r="B17" s="10">
        <v>178</v>
      </c>
      <c r="D17" s="1" t="s">
        <v>48</v>
      </c>
      <c r="E17" s="4">
        <f>_xlfn.CHISQ.INV.RT(E15, 20)</f>
        <v>39.996846312938644</v>
      </c>
      <c r="G17" t="s">
        <v>49</v>
      </c>
      <c r="J17" s="15">
        <f>_xlfn.CHISQ.INV(E15, E16)</f>
        <v>7.4338442629342349</v>
      </c>
    </row>
    <row r="18" spans="1:10" x14ac:dyDescent="0.2">
      <c r="A18" s="10" t="s">
        <v>34</v>
      </c>
      <c r="B18" s="10">
        <v>170</v>
      </c>
    </row>
    <row r="19" spans="1:10" x14ac:dyDescent="0.2">
      <c r="A19" s="10" t="s">
        <v>35</v>
      </c>
      <c r="B19" s="10">
        <v>170</v>
      </c>
      <c r="D19" s="11" t="s">
        <v>42</v>
      </c>
      <c r="E19" s="11"/>
      <c r="F19" s="11"/>
      <c r="G19" s="4">
        <f>(E11-1)*E12/E17</f>
        <v>24.130473927656681</v>
      </c>
    </row>
    <row r="20" spans="1:10" x14ac:dyDescent="0.2">
      <c r="A20" s="10" t="s">
        <v>36</v>
      </c>
      <c r="B20" s="10">
        <v>168</v>
      </c>
      <c r="D20" s="11" t="s">
        <v>43</v>
      </c>
      <c r="E20" s="11"/>
      <c r="F20" s="11"/>
      <c r="G20" s="4">
        <f>(E11-1)*E12/J17</f>
        <v>129.83092233383735</v>
      </c>
    </row>
    <row r="21" spans="1:10" x14ac:dyDescent="0.2">
      <c r="A21" s="10" t="s">
        <v>37</v>
      </c>
      <c r="B21" s="10">
        <v>180</v>
      </c>
      <c r="D21" s="11" t="s">
        <v>44</v>
      </c>
      <c r="E21" s="11"/>
      <c r="F21" s="11"/>
      <c r="G21" s="4">
        <f>SQRT(G19)</f>
        <v>4.9122778756557208</v>
      </c>
    </row>
    <row r="22" spans="1:10" x14ac:dyDescent="0.2">
      <c r="A22" s="10" t="s">
        <v>38</v>
      </c>
      <c r="B22" s="10">
        <v>170</v>
      </c>
      <c r="D22" s="12" t="s">
        <v>45</v>
      </c>
      <c r="E22" s="13"/>
      <c r="F22" s="14"/>
      <c r="G22" s="4">
        <f>SQRT(G20)</f>
        <v>11.394337292437738</v>
      </c>
    </row>
  </sheetData>
  <mergeCells count="4">
    <mergeCell ref="D19:F19"/>
    <mergeCell ref="D20:F20"/>
    <mergeCell ref="D21:F21"/>
    <mergeCell ref="D22:F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0879-FBF3-44CD-B728-62FD3C66D189}">
  <dimension ref="A1:C50"/>
  <sheetViews>
    <sheetView topLeftCell="A5" zoomScale="143" zoomScaleNormal="100" workbookViewId="0">
      <selection activeCell="B42" sqref="B42"/>
    </sheetView>
  </sheetViews>
  <sheetFormatPr baseColWidth="10" defaultColWidth="8.83203125" defaultRowHeight="15" x14ac:dyDescent="0.2"/>
  <cols>
    <col min="1" max="1" width="25.6640625" customWidth="1"/>
    <col min="2" max="2" width="10.6640625" customWidth="1"/>
  </cols>
  <sheetData>
    <row r="1" spans="1:2" x14ac:dyDescent="0.2">
      <c r="A1" s="5" t="s">
        <v>3</v>
      </c>
    </row>
    <row r="3" spans="1:2" x14ac:dyDescent="0.2">
      <c r="A3" s="1" t="s">
        <v>4</v>
      </c>
      <c r="B3" s="1">
        <v>85</v>
      </c>
    </row>
    <row r="4" spans="1:2" x14ac:dyDescent="0.2">
      <c r="A4" s="1" t="s">
        <v>5</v>
      </c>
      <c r="B4" s="1">
        <v>10</v>
      </c>
    </row>
    <row r="5" spans="1:2" x14ac:dyDescent="0.2">
      <c r="A5" s="1" t="s">
        <v>6</v>
      </c>
      <c r="B5" s="4">
        <f>10/B3</f>
        <v>0.11764705882352941</v>
      </c>
    </row>
    <row r="6" spans="1:2" x14ac:dyDescent="0.2">
      <c r="A6" s="1" t="s">
        <v>2</v>
      </c>
      <c r="B6" s="2">
        <v>0.95</v>
      </c>
    </row>
    <row r="7" spans="1:2" x14ac:dyDescent="0.2">
      <c r="A7" s="1" t="s">
        <v>0</v>
      </c>
      <c r="B7" s="3">
        <v>0.05</v>
      </c>
    </row>
    <row r="8" spans="1:2" x14ac:dyDescent="0.2">
      <c r="A8" s="1" t="s">
        <v>1</v>
      </c>
      <c r="B8" s="1">
        <f>B7/2</f>
        <v>2.5000000000000001E-2</v>
      </c>
    </row>
    <row r="9" spans="1:2" x14ac:dyDescent="0.2">
      <c r="A9" s="1" t="s">
        <v>7</v>
      </c>
      <c r="B9" s="4">
        <f>_xlfn.NORM.S.INV(1-0.025)</f>
        <v>1.9599639845400536</v>
      </c>
    </row>
    <row r="11" spans="1:2" x14ac:dyDescent="0.2">
      <c r="A11" s="1" t="s">
        <v>8</v>
      </c>
      <c r="B11" s="4">
        <f>B5-B9*SQRT(B5*(1-B5)/B3)</f>
        <v>4.9153405048878593E-2</v>
      </c>
    </row>
    <row r="12" spans="1:2" x14ac:dyDescent="0.2">
      <c r="A12" s="1" t="s">
        <v>10</v>
      </c>
      <c r="B12" s="4">
        <f>B5+B9*SQRT(B5*(1-B5)/B3)</f>
        <v>0.18614071259818021</v>
      </c>
    </row>
    <row r="14" spans="1:2" x14ac:dyDescent="0.2">
      <c r="A14" t="s">
        <v>50</v>
      </c>
      <c r="B14">
        <f>_xlfn.NORM.S.INV(1-B7)</f>
        <v>1.6448536269514715</v>
      </c>
    </row>
    <row r="24" spans="1:2" x14ac:dyDescent="0.2">
      <c r="A24" s="1" t="s">
        <v>9</v>
      </c>
      <c r="B24" s="4">
        <f>B14</f>
        <v>1.6448536269514715</v>
      </c>
    </row>
    <row r="25" spans="1:2" x14ac:dyDescent="0.2">
      <c r="A25" s="1" t="s">
        <v>8</v>
      </c>
      <c r="B25" s="4">
        <f>B5-B14*SQRT(B5*(1-B5)/B3)</f>
        <v>6.0165372566508092E-2</v>
      </c>
    </row>
    <row r="28" spans="1:2" x14ac:dyDescent="0.2">
      <c r="A28" s="1" t="s">
        <v>9</v>
      </c>
      <c r="B28" s="6">
        <f>B24</f>
        <v>1.6448536269514715</v>
      </c>
    </row>
    <row r="29" spans="1:2" x14ac:dyDescent="0.2">
      <c r="A29" s="1" t="s">
        <v>10</v>
      </c>
      <c r="B29" s="4">
        <f>B5+B14*SQRT(B5*(1-B5)/B3)</f>
        <v>0.17512874508055074</v>
      </c>
    </row>
    <row r="37" spans="1:3" x14ac:dyDescent="0.2">
      <c r="A37" t="s">
        <v>11</v>
      </c>
    </row>
    <row r="39" spans="1:3" x14ac:dyDescent="0.2">
      <c r="A39" s="1" t="s">
        <v>7</v>
      </c>
      <c r="B39" s="8">
        <f>B9</f>
        <v>1.9599639845400536</v>
      </c>
    </row>
    <row r="40" spans="1:3" x14ac:dyDescent="0.2">
      <c r="A40" s="1" t="s">
        <v>12</v>
      </c>
      <c r="B40" s="7">
        <f>0.05</f>
        <v>0.05</v>
      </c>
    </row>
    <row r="41" spans="1:3" x14ac:dyDescent="0.2">
      <c r="A41" s="1" t="s">
        <v>13</v>
      </c>
      <c r="B41" s="8">
        <f>B5</f>
        <v>0.11764705882352941</v>
      </c>
    </row>
    <row r="42" spans="1:3" x14ac:dyDescent="0.2">
      <c r="A42" s="1" t="s">
        <v>14</v>
      </c>
      <c r="B42" s="3">
        <f>POWER(B39/B40,2)*B41*(1-B41)</f>
        <v>159.50694065165911</v>
      </c>
    </row>
    <row r="43" spans="1:3" x14ac:dyDescent="0.2">
      <c r="A43" s="1" t="s">
        <v>15</v>
      </c>
      <c r="B43" s="3">
        <v>160</v>
      </c>
      <c r="C43" t="s">
        <v>16</v>
      </c>
    </row>
    <row r="48" spans="1:3" x14ac:dyDescent="0.2">
      <c r="A48" s="1" t="s">
        <v>13</v>
      </c>
      <c r="B48" s="7">
        <v>0.5</v>
      </c>
    </row>
    <row r="49" spans="1:2" x14ac:dyDescent="0.2">
      <c r="A49" s="1" t="s">
        <v>14</v>
      </c>
      <c r="B49" s="3">
        <f>POWER(B39/B40,2)*0.25</f>
        <v>384.14588206941232</v>
      </c>
    </row>
    <row r="50" spans="1:2" x14ac:dyDescent="0.2">
      <c r="A50" s="1" t="s">
        <v>15</v>
      </c>
      <c r="B50" s="3">
        <v>385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E1B4-2263-453D-83C1-91CD0A8547F2}">
  <dimension ref="A1:E22"/>
  <sheetViews>
    <sheetView tabSelected="1" zoomScale="177" workbookViewId="0">
      <selection activeCell="E11" sqref="E11"/>
    </sheetView>
  </sheetViews>
  <sheetFormatPr baseColWidth="10" defaultColWidth="8.83203125" defaultRowHeight="15" x14ac:dyDescent="0.2"/>
  <cols>
    <col min="4" max="4" width="24.5" customWidth="1"/>
  </cols>
  <sheetData>
    <row r="1" spans="1:5" x14ac:dyDescent="0.2">
      <c r="A1" s="9" t="s">
        <v>17</v>
      </c>
      <c r="B1" s="9" t="s">
        <v>18</v>
      </c>
      <c r="D1" t="s">
        <v>46</v>
      </c>
    </row>
    <row r="2" spans="1:5" x14ac:dyDescent="0.2">
      <c r="A2" s="10" t="s">
        <v>19</v>
      </c>
      <c r="B2" s="10">
        <v>173</v>
      </c>
    </row>
    <row r="3" spans="1:5" x14ac:dyDescent="0.2">
      <c r="A3" s="10" t="s">
        <v>20</v>
      </c>
      <c r="B3" s="10">
        <v>166</v>
      </c>
      <c r="D3" s="1" t="s">
        <v>4</v>
      </c>
      <c r="E3" s="3">
        <f>COUNT(B2:B22)</f>
        <v>21</v>
      </c>
    </row>
    <row r="4" spans="1:5" x14ac:dyDescent="0.2">
      <c r="A4" s="10" t="s">
        <v>21</v>
      </c>
      <c r="B4" s="10">
        <v>180</v>
      </c>
      <c r="D4" s="1" t="s">
        <v>5</v>
      </c>
      <c r="E4" s="3">
        <f>COUNTIF(B2:B22, "&gt;=170")</f>
        <v>14</v>
      </c>
    </row>
    <row r="5" spans="1:5" x14ac:dyDescent="0.2">
      <c r="A5" s="10" t="s">
        <v>22</v>
      </c>
      <c r="B5" s="10">
        <v>185</v>
      </c>
      <c r="D5" s="1" t="s">
        <v>6</v>
      </c>
      <c r="E5" s="4">
        <f>E4/E3</f>
        <v>0.66666666666666663</v>
      </c>
    </row>
    <row r="6" spans="1:5" x14ac:dyDescent="0.2">
      <c r="A6" s="10" t="s">
        <v>23</v>
      </c>
      <c r="B6" s="10">
        <v>177</v>
      </c>
      <c r="D6" s="1" t="s">
        <v>2</v>
      </c>
      <c r="E6" s="2">
        <v>0.99</v>
      </c>
    </row>
    <row r="7" spans="1:5" x14ac:dyDescent="0.2">
      <c r="A7" s="10" t="s">
        <v>21</v>
      </c>
      <c r="B7" s="10">
        <v>168</v>
      </c>
      <c r="D7" s="1" t="s">
        <v>0</v>
      </c>
      <c r="E7" s="3">
        <v>0.01</v>
      </c>
    </row>
    <row r="8" spans="1:5" x14ac:dyDescent="0.2">
      <c r="A8" s="10" t="s">
        <v>24</v>
      </c>
      <c r="B8" s="10">
        <v>154</v>
      </c>
      <c r="D8" s="1" t="s">
        <v>1</v>
      </c>
      <c r="E8" s="1">
        <f>E7/2</f>
        <v>5.0000000000000001E-3</v>
      </c>
    </row>
    <row r="9" spans="1:5" x14ac:dyDescent="0.2">
      <c r="A9" s="10" t="s">
        <v>25</v>
      </c>
      <c r="B9" s="10">
        <v>175</v>
      </c>
      <c r="D9" s="1" t="s">
        <v>7</v>
      </c>
      <c r="E9" s="4">
        <f>_xlfn.NORM.S.INV(1-E8)</f>
        <v>2.5758293035488999</v>
      </c>
    </row>
    <row r="10" spans="1:5" x14ac:dyDescent="0.2">
      <c r="A10" s="10" t="s">
        <v>26</v>
      </c>
      <c r="B10" s="10">
        <v>177</v>
      </c>
    </row>
    <row r="11" spans="1:5" x14ac:dyDescent="0.2">
      <c r="A11" s="10" t="s">
        <v>27</v>
      </c>
      <c r="B11" s="10">
        <v>175</v>
      </c>
      <c r="D11" s="1" t="s">
        <v>8</v>
      </c>
      <c r="E11" s="4">
        <f>E5-E9*SQRT(E5*(1-E5)/E3)</f>
        <v>0.40169393968792166</v>
      </c>
    </row>
    <row r="12" spans="1:5" x14ac:dyDescent="0.2">
      <c r="A12" s="10" t="s">
        <v>28</v>
      </c>
      <c r="B12" s="10">
        <v>171</v>
      </c>
      <c r="D12" s="1" t="s">
        <v>10</v>
      </c>
      <c r="E12" s="4">
        <f>E5+E9*SQRT(E5*(1-E5)/E3)</f>
        <v>0.9316393936454116</v>
      </c>
    </row>
    <row r="13" spans="1:5" x14ac:dyDescent="0.2">
      <c r="A13" s="10" t="s">
        <v>29</v>
      </c>
      <c r="B13" s="10">
        <v>171</v>
      </c>
    </row>
    <row r="14" spans="1:5" x14ac:dyDescent="0.2">
      <c r="A14" s="10" t="s">
        <v>30</v>
      </c>
      <c r="B14" s="10">
        <v>168</v>
      </c>
    </row>
    <row r="15" spans="1:5" x14ac:dyDescent="0.2">
      <c r="A15" s="10" t="s">
        <v>31</v>
      </c>
      <c r="B15" s="10">
        <v>164</v>
      </c>
    </row>
    <row r="16" spans="1:5" x14ac:dyDescent="0.2">
      <c r="A16" s="10" t="s">
        <v>32</v>
      </c>
      <c r="B16" s="10">
        <v>163</v>
      </c>
    </row>
    <row r="17" spans="1:2" x14ac:dyDescent="0.2">
      <c r="A17" s="10" t="s">
        <v>33</v>
      </c>
      <c r="B17" s="10">
        <v>178</v>
      </c>
    </row>
    <row r="18" spans="1:2" x14ac:dyDescent="0.2">
      <c r="A18" s="10" t="s">
        <v>34</v>
      </c>
      <c r="B18" s="10">
        <v>170</v>
      </c>
    </row>
    <row r="19" spans="1:2" x14ac:dyDescent="0.2">
      <c r="A19" s="10" t="s">
        <v>35</v>
      </c>
      <c r="B19" s="10">
        <v>170</v>
      </c>
    </row>
    <row r="20" spans="1:2" x14ac:dyDescent="0.2">
      <c r="A20" s="10" t="s">
        <v>36</v>
      </c>
      <c r="B20" s="10">
        <v>168</v>
      </c>
    </row>
    <row r="21" spans="1:2" x14ac:dyDescent="0.2">
      <c r="A21" s="10" t="s">
        <v>37</v>
      </c>
      <c r="B21" s="10">
        <v>180</v>
      </c>
    </row>
    <row r="22" spans="1:2" x14ac:dyDescent="0.2">
      <c r="A22" s="10" t="s">
        <v>38</v>
      </c>
      <c r="B22" s="10">
        <v>170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2022-05-28T04:07:42Z</dcterms:created>
  <dcterms:modified xsi:type="dcterms:W3CDTF">2026-05-28T04:05:12Z</dcterms:modified>
</cp:coreProperties>
</file>