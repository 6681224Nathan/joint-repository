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"/>
    </mc:Choice>
  </mc:AlternateContent>
  <xr:revisionPtr revIDLastSave="0" documentId="13_ncr:1_{3476AF7F-3F8D-174D-8663-E9FB21504B86}" xr6:coauthVersionLast="47" xr6:coauthVersionMax="47" xr10:uidLastSave="{00000000-0000-0000-0000-000000000000}"/>
  <bookViews>
    <workbookView xWindow="0" yWindow="600" windowWidth="24080" windowHeight="13220" activeTab="3" xr2:uid="{C748285C-19E1-4F2D-927D-6F526C53A5E8}"/>
  </bookViews>
  <sheets>
    <sheet name="Sheet1" sheetId="2" r:id="rId1"/>
    <sheet name="Sheet2" sheetId="9" r:id="rId2"/>
    <sheet name="Sheet3" sheetId="10" r:id="rId3"/>
    <sheet name="Sheet4" sheetId="11" r:id="rId4"/>
    <sheet name="Sheet5" sheetId="1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1" l="1"/>
  <c r="B16" i="11"/>
  <c r="B15" i="11"/>
  <c r="B14" i="11"/>
  <c r="B17" i="10"/>
  <c r="B18" i="10"/>
  <c r="B15" i="10"/>
  <c r="B16" i="10"/>
  <c r="B6" i="10"/>
  <c r="B23" i="9"/>
  <c r="B22" i="9"/>
  <c r="B15" i="2"/>
  <c r="B16" i="9"/>
  <c r="B15" i="9"/>
  <c r="B14" i="9"/>
  <c r="B14" i="2"/>
  <c r="B16" i="2" l="1"/>
</calcChain>
</file>

<file path=xl/sharedStrings.xml><?xml version="1.0" encoding="utf-8"?>
<sst xmlns="http://schemas.openxmlformats.org/spreadsheetml/2006/main" count="108" uniqueCount="57">
  <si>
    <t>Parameter of Interest</t>
  </si>
  <si>
    <t>Null Hypothesis</t>
  </si>
  <si>
    <t>Alternative Hypothesis</t>
  </si>
  <si>
    <t>Reject Region</t>
  </si>
  <si>
    <t>Accept/Reject Null Hypothesis</t>
  </si>
  <si>
    <r>
      <t>Significance Level 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)</t>
    </r>
  </si>
  <si>
    <t>P-value</t>
  </si>
  <si>
    <r>
      <t xml:space="preserve">Reject H0 if P-value &lt; </t>
    </r>
    <r>
      <rPr>
        <sz val="11"/>
        <color theme="1"/>
        <rFont val="Symbol"/>
        <family val="1"/>
        <charset val="2"/>
      </rPr>
      <t>a</t>
    </r>
  </si>
  <si>
    <t>Paint Drying Time</t>
  </si>
  <si>
    <t>Sample Mean 1</t>
  </si>
  <si>
    <t>Sample Mean 2</t>
  </si>
  <si>
    <t>Sample Size 1</t>
  </si>
  <si>
    <t>Sample Size 2</t>
  </si>
  <si>
    <t xml:space="preserve">Reject H0 if </t>
  </si>
  <si>
    <t>Population S.D. 1</t>
  </si>
  <si>
    <t>Population S.D. 2</t>
  </si>
  <si>
    <t>Wax</t>
  </si>
  <si>
    <t>Lower Bound</t>
  </si>
  <si>
    <t>Upper Bound</t>
  </si>
  <si>
    <t>Find 95% two-sided confidence bound of a difference in means of waxes</t>
  </si>
  <si>
    <t>Yield from a Catalyst</t>
  </si>
  <si>
    <t>Sample S.D. 1</t>
  </si>
  <si>
    <t>Sample S.D. 2</t>
  </si>
  <si>
    <t>Pooled Estimator of Variance</t>
  </si>
  <si>
    <t>Degree of Freedom</t>
  </si>
  <si>
    <t>Arsenic in Drinking Water</t>
  </si>
  <si>
    <t>Difference of mean</t>
  </si>
  <si>
    <t>Test Statistic (Z0)</t>
  </si>
  <si>
    <t>Cement Hydration</t>
  </si>
  <si>
    <t>Pooled Estimator of SD</t>
  </si>
  <si>
    <t>95% Confidence Interval</t>
  </si>
  <si>
    <t>Lower Confidence Bound</t>
  </si>
  <si>
    <t>Upper Confidence Bound</t>
  </si>
  <si>
    <r>
      <t xml:space="preserve">H0: </t>
    </r>
    <r>
      <rPr>
        <sz val="11"/>
        <color theme="1"/>
        <rFont val="Symbol"/>
        <family val="1"/>
        <charset val="2"/>
      </rPr>
      <t>m1 - m2 = 0</t>
    </r>
  </si>
  <si>
    <r>
      <t xml:space="preserve">H1: </t>
    </r>
    <r>
      <rPr>
        <sz val="11"/>
        <color theme="1"/>
        <rFont val="Symbol"/>
        <family val="1"/>
        <charset val="2"/>
      </rPr>
      <t>m1 - m2 &gt;</t>
    </r>
    <r>
      <rPr>
        <sz val="11"/>
        <color theme="1"/>
        <rFont val="Calibri"/>
        <family val="2"/>
        <scheme val="minor"/>
      </rPr>
      <t xml:space="preserve"> 0</t>
    </r>
  </si>
  <si>
    <t>Reject H0 if Z0 &gt; Z(alpha)</t>
  </si>
  <si>
    <t>Z(a)</t>
  </si>
  <si>
    <t>reject</t>
  </si>
  <si>
    <t>Rejection MEANS H NULL REJECTION</t>
  </si>
  <si>
    <t>reject because z0 &gt; z alpha, criteria of rejection checks, so we reject. Which means that the second formula (H1 hypothesis) is better than the first formula</t>
  </si>
  <si>
    <t>mu1 - mu2 = 0</t>
  </si>
  <si>
    <t>Reject H0 if Z(0) -Z(alpha)</t>
  </si>
  <si>
    <t>Test Statistic Z(0)</t>
  </si>
  <si>
    <t>Z(alpha)</t>
  </si>
  <si>
    <t>mu1 - mu2 &gt; 0</t>
  </si>
  <si>
    <t>since Z0 = 0.91 !&gt; Z(alpha) = 1.64 so we don't have strong evidence to reject H0, so we accept it.</t>
  </si>
  <si>
    <t>Difference on mean</t>
  </si>
  <si>
    <t>H0 : mu1 - mu2 = 0</t>
  </si>
  <si>
    <t>H1 : mu1 - mu2 != 0</t>
  </si>
  <si>
    <t>Reject H0 if t(0)&gt;t(a/2) or t(0) &lt;t(a/2)</t>
  </si>
  <si>
    <t>t(a)</t>
  </si>
  <si>
    <t>Test Statistic t(0)</t>
  </si>
  <si>
    <t>Accept</t>
  </si>
  <si>
    <t>Difference in mean</t>
  </si>
  <si>
    <t>H0 : mu1 -mu2 = 0</t>
  </si>
  <si>
    <t>Test Statistic T(0)</t>
  </si>
  <si>
    <t>t(alpha)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</si>
</sst>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rgb="FFFF0000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0" fillId="0" borderId="1" xfId="0" applyBorder="1" applyAlignment="1">
      <alignment vertical="center"/>
    </xf>
    <xf numFmtId="165" fontId="0" fillId="2" borderId="1" xfId="0" applyNumberFormat="1" applyFill="1" applyBorder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quotePrefix="1" applyBorder="1" applyAlignment="1">
      <alignment vertical="center"/>
    </xf>
    <xf numFmtId="164" fontId="0" fillId="3" borderId="1" xfId="0" applyNumberFormat="1" applyFill="1" applyBorder="1" applyAlignment="1">
      <alignment horizontal="left" vertical="center"/>
    </xf>
    <xf numFmtId="0" fontId="0" fillId="4" borderId="4" xfId="0" applyFill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164" fontId="3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165" fontId="0" fillId="0" borderId="1" xfId="0" applyNumberForma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19050</xdr:colOff>
      <xdr:row>7</xdr:row>
      <xdr:rowOff>6350</xdr:rowOff>
    </xdr:from>
    <xdr:to>
      <xdr:col>4</xdr:col>
      <xdr:colOff>1759184</xdr:colOff>
      <xdr:row>14</xdr:row>
      <xdr:rowOff>241299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8D9B046-D717-4252-87C0-58CF40E4AE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91150" y="1784350"/>
          <a:ext cx="3530834" cy="20129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19050</xdr:colOff>
      <xdr:row>7</xdr:row>
      <xdr:rowOff>6350</xdr:rowOff>
    </xdr:from>
    <xdr:to>
      <xdr:col>4</xdr:col>
      <xdr:colOff>1762359</xdr:colOff>
      <xdr:row>14</xdr:row>
      <xdr:rowOff>238124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B14F9A-E105-43BB-BAE2-830BC8A55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91150" y="1784350"/>
          <a:ext cx="3530834" cy="2012949"/>
        </a:xfrm>
        <a:prstGeom prst="rect">
          <a:avLst/>
        </a:prstGeom>
      </xdr:spPr>
    </xdr:pic>
    <xdr:clientData/>
  </xdr:twoCellAnchor>
  <xdr:twoCellAnchor editAs="oneCell">
    <xdr:from>
      <xdr:col>3</xdr:col>
      <xdr:colOff>19050</xdr:colOff>
      <xdr:row>18</xdr:row>
      <xdr:rowOff>133350</xdr:rowOff>
    </xdr:from>
    <xdr:to>
      <xdr:col>4</xdr:col>
      <xdr:colOff>1787768</xdr:colOff>
      <xdr:row>22</xdr:row>
      <xdr:rowOff>247650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7EC74D7-EC5A-4171-9C5B-CF26E70AC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91150" y="4705350"/>
          <a:ext cx="3559418" cy="1130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641350</xdr:colOff>
      <xdr:row>5</xdr:row>
      <xdr:rowOff>76201</xdr:rowOff>
    </xdr:from>
    <xdr:to>
      <xdr:col>4</xdr:col>
      <xdr:colOff>10690</xdr:colOff>
      <xdr:row>8</xdr:row>
      <xdr:rowOff>104776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30784C-CECD-4118-9B0D-5C1DEC75DD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22750" y="1346201"/>
          <a:ext cx="2953915" cy="787400"/>
        </a:xfrm>
        <a:prstGeom prst="rect">
          <a:avLst/>
        </a:prstGeom>
      </xdr:spPr>
    </xdr:pic>
    <xdr:clientData/>
  </xdr:twoCellAnchor>
  <xdr:twoCellAnchor editAs="oneCell">
    <xdr:from>
      <xdr:col>3</xdr:col>
      <xdr:colOff>29881</xdr:colOff>
      <xdr:row>8</xdr:row>
      <xdr:rowOff>179294</xdr:rowOff>
    </xdr:from>
    <xdr:to>
      <xdr:col>4</xdr:col>
      <xdr:colOff>1706468</xdr:colOff>
      <xdr:row>15</xdr:row>
      <xdr:rowOff>65543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7A49306-8D0D-4F4E-9326-145CFA4D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08705" y="2211294"/>
          <a:ext cx="3466353" cy="16610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36146</xdr:colOff>
      <xdr:row>7</xdr:row>
      <xdr:rowOff>25889</xdr:rowOff>
    </xdr:from>
    <xdr:to>
      <xdr:col>4</xdr:col>
      <xdr:colOff>1790073</xdr:colOff>
      <xdr:row>9</xdr:row>
      <xdr:rowOff>238125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465F67B-2B85-49CA-B7C6-37909D88C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08246" y="1803889"/>
          <a:ext cx="3544627" cy="717061"/>
        </a:xfrm>
        <a:prstGeom prst="rect">
          <a:avLst/>
        </a:prstGeom>
      </xdr:spPr>
    </xdr:pic>
    <xdr:clientData/>
  </xdr:twoCellAnchor>
  <xdr:twoCellAnchor editAs="oneCell">
    <xdr:from>
      <xdr:col>3</xdr:col>
      <xdr:colOff>29882</xdr:colOff>
      <xdr:row>14</xdr:row>
      <xdr:rowOff>37354</xdr:rowOff>
    </xdr:from>
    <xdr:to>
      <xdr:col>4</xdr:col>
      <xdr:colOff>1778264</xdr:colOff>
      <xdr:row>16</xdr:row>
      <xdr:rowOff>235885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CDDC3A0-1054-4F64-80E2-132EEFFE54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08706" y="3593354"/>
          <a:ext cx="3544498" cy="70970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6</xdr:col>
      <xdr:colOff>1896738</xdr:colOff>
      <xdr:row>37</xdr:row>
      <xdr:rowOff>11776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CBF9EE-58EC-F097-B956-998B61BBF3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05181" y="4796928"/>
          <a:ext cx="7772400" cy="45562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E2AEE-E0A8-43D1-B1BA-2DE96725CAC7}">
  <dimension ref="A1:D20"/>
  <sheetViews>
    <sheetView topLeftCell="A12" zoomScale="150" workbookViewId="0">
      <selection activeCell="B16" sqref="B16"/>
    </sheetView>
  </sheetViews>
  <sheetFormatPr baseColWidth="10" defaultColWidth="25.6640625" defaultRowHeight="20" customHeight="1" x14ac:dyDescent="0.2"/>
  <cols>
    <col min="1" max="1" width="28.6640625" style="3" customWidth="1"/>
    <col min="2" max="2" width="25.6640625" style="1"/>
    <col min="3" max="3" width="25.6640625" style="2"/>
    <col min="4" max="16384" width="25.6640625" style="1"/>
  </cols>
  <sheetData>
    <row r="1" spans="1:4" s="14" customFormat="1" ht="20" customHeight="1" x14ac:dyDescent="0.2">
      <c r="A1" s="13" t="s">
        <v>8</v>
      </c>
      <c r="C1" s="15"/>
    </row>
    <row r="2" spans="1:4" ht="20" customHeight="1" x14ac:dyDescent="0.2">
      <c r="A2" s="1"/>
      <c r="B2" s="2"/>
      <c r="C2" s="1"/>
    </row>
    <row r="3" spans="1:4" ht="20" customHeight="1" x14ac:dyDescent="0.2">
      <c r="A3" s="11" t="s">
        <v>11</v>
      </c>
      <c r="B3" s="5">
        <v>10</v>
      </c>
      <c r="C3" s="11" t="s">
        <v>12</v>
      </c>
      <c r="D3" s="5">
        <v>10</v>
      </c>
    </row>
    <row r="4" spans="1:4" ht="20" customHeight="1" x14ac:dyDescent="0.2">
      <c r="A4" s="11" t="s">
        <v>9</v>
      </c>
      <c r="B4" s="5">
        <v>121</v>
      </c>
      <c r="C4" s="11" t="s">
        <v>10</v>
      </c>
      <c r="D4" s="5">
        <v>112</v>
      </c>
    </row>
    <row r="5" spans="1:4" ht="20" customHeight="1" x14ac:dyDescent="0.2">
      <c r="A5" s="11" t="s">
        <v>14</v>
      </c>
      <c r="B5" s="5">
        <v>8</v>
      </c>
      <c r="C5" s="11" t="s">
        <v>15</v>
      </c>
      <c r="D5" s="5">
        <v>8</v>
      </c>
    </row>
    <row r="6" spans="1:4" ht="20" customHeight="1" x14ac:dyDescent="0.2">
      <c r="A6" s="12"/>
      <c r="C6" s="1"/>
    </row>
    <row r="7" spans="1:4" ht="20" customHeight="1" x14ac:dyDescent="0.2">
      <c r="A7" s="1"/>
      <c r="B7" s="6"/>
      <c r="C7" s="1" t="s">
        <v>38</v>
      </c>
    </row>
    <row r="8" spans="1:4" ht="20" customHeight="1" x14ac:dyDescent="0.2">
      <c r="A8" s="4" t="s">
        <v>0</v>
      </c>
      <c r="B8" s="7" t="s">
        <v>26</v>
      </c>
      <c r="C8" s="1"/>
    </row>
    <row r="9" spans="1:4" ht="20" customHeight="1" x14ac:dyDescent="0.2">
      <c r="A9" s="4" t="s">
        <v>1</v>
      </c>
      <c r="B9" s="19" t="s">
        <v>33</v>
      </c>
      <c r="C9" s="1"/>
    </row>
    <row r="10" spans="1:4" ht="20" customHeight="1" x14ac:dyDescent="0.2">
      <c r="A10" s="4" t="s">
        <v>2</v>
      </c>
      <c r="B10" s="19" t="s">
        <v>34</v>
      </c>
      <c r="C10" s="1"/>
    </row>
    <row r="11" spans="1:4" ht="20" customHeight="1" x14ac:dyDescent="0.2">
      <c r="A11" s="4" t="s">
        <v>5</v>
      </c>
      <c r="B11" s="7">
        <v>0.05</v>
      </c>
      <c r="C11" s="1"/>
    </row>
    <row r="12" spans="1:4" ht="20" customHeight="1" x14ac:dyDescent="0.2">
      <c r="A12" s="20" t="s">
        <v>3</v>
      </c>
      <c r="B12" s="7" t="s">
        <v>35</v>
      </c>
    </row>
    <row r="13" spans="1:4" ht="20" customHeight="1" x14ac:dyDescent="0.2">
      <c r="A13" s="21"/>
      <c r="B13" s="4" t="s">
        <v>7</v>
      </c>
      <c r="C13" s="1"/>
    </row>
    <row r="14" spans="1:4" ht="20" customHeight="1" x14ac:dyDescent="0.2">
      <c r="A14" s="4" t="s">
        <v>27</v>
      </c>
      <c r="B14" s="5">
        <f>(B4-D4)/(SQRT(POWER(B5,2)/B3+POWER(D5,2)/D3))</f>
        <v>2.5155764746872635</v>
      </c>
      <c r="C14" s="1"/>
    </row>
    <row r="15" spans="1:4" ht="20" customHeight="1" x14ac:dyDescent="0.2">
      <c r="A15" s="8" t="s">
        <v>36</v>
      </c>
      <c r="B15" s="9">
        <f>_xlfn.NORM.S.INV(1-B11)</f>
        <v>1.6448536269514715</v>
      </c>
      <c r="C15" s="1"/>
    </row>
    <row r="16" spans="1:4" ht="20" customHeight="1" x14ac:dyDescent="0.2">
      <c r="A16" s="4" t="s">
        <v>6</v>
      </c>
      <c r="B16" s="9">
        <f>1-_xlfn.NORM.S.DIST(B14, TRUE)</f>
        <v>5.9418946210736401E-3</v>
      </c>
      <c r="C16" s="1"/>
    </row>
    <row r="17" spans="1:3" ht="20" customHeight="1" thickBot="1" x14ac:dyDescent="0.25">
      <c r="A17" s="1"/>
      <c r="B17" s="3"/>
      <c r="C17" s="1"/>
    </row>
    <row r="18" spans="1:3" ht="20" customHeight="1" thickBot="1" x14ac:dyDescent="0.25">
      <c r="A18" s="1" t="s">
        <v>4</v>
      </c>
      <c r="B18" s="10" t="s">
        <v>39</v>
      </c>
      <c r="C18" s="1"/>
    </row>
    <row r="19" spans="1:3" ht="20" customHeight="1" x14ac:dyDescent="0.2">
      <c r="A19" s="1"/>
      <c r="B19" s="2"/>
      <c r="C19" s="1"/>
    </row>
    <row r="20" spans="1:3" ht="20" customHeight="1" x14ac:dyDescent="0.2">
      <c r="A20" s="1"/>
      <c r="B20" s="2"/>
      <c r="C20" s="1"/>
    </row>
  </sheetData>
  <mergeCells count="1">
    <mergeCell ref="A12:A1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CDD7B-BBAF-4196-8F35-C57A6D7C449A}">
  <dimension ref="A1:D23"/>
  <sheetViews>
    <sheetView topLeftCell="C1" zoomScale="164" workbookViewId="0">
      <selection activeCell="B24" sqref="B24"/>
    </sheetView>
  </sheetViews>
  <sheetFormatPr baseColWidth="10" defaultColWidth="25.6640625" defaultRowHeight="20" customHeight="1" x14ac:dyDescent="0.2"/>
  <cols>
    <col min="1" max="1" width="28.6640625" style="3" customWidth="1"/>
    <col min="2" max="2" width="25.6640625" style="1"/>
    <col min="3" max="3" width="25.6640625" style="2"/>
    <col min="4" max="16384" width="25.6640625" style="1"/>
  </cols>
  <sheetData>
    <row r="1" spans="1:4" ht="20" customHeight="1" x14ac:dyDescent="0.2">
      <c r="A1" s="13" t="s">
        <v>16</v>
      </c>
    </row>
    <row r="2" spans="1:4" ht="20" customHeight="1" x14ac:dyDescent="0.2">
      <c r="A2" s="1"/>
      <c r="B2" s="2"/>
      <c r="C2" s="1"/>
    </row>
    <row r="3" spans="1:4" ht="20" customHeight="1" x14ac:dyDescent="0.2">
      <c r="A3" s="11" t="s">
        <v>11</v>
      </c>
      <c r="B3" s="5">
        <v>20</v>
      </c>
      <c r="C3" s="11" t="s">
        <v>12</v>
      </c>
      <c r="D3" s="5">
        <v>20</v>
      </c>
    </row>
    <row r="4" spans="1:4" ht="20" customHeight="1" x14ac:dyDescent="0.2">
      <c r="A4" s="11" t="s">
        <v>9</v>
      </c>
      <c r="B4" s="5">
        <v>3</v>
      </c>
      <c r="C4" s="11" t="s">
        <v>10</v>
      </c>
      <c r="D4" s="5">
        <v>2.9</v>
      </c>
    </row>
    <row r="5" spans="1:4" ht="20" customHeight="1" x14ac:dyDescent="0.2">
      <c r="A5" s="11" t="s">
        <v>14</v>
      </c>
      <c r="B5" s="5">
        <v>0.33</v>
      </c>
      <c r="C5" s="11" t="s">
        <v>15</v>
      </c>
      <c r="D5" s="5">
        <v>0.36</v>
      </c>
    </row>
    <row r="6" spans="1:4" ht="20" customHeight="1" x14ac:dyDescent="0.2">
      <c r="A6" s="12"/>
      <c r="C6" s="1"/>
    </row>
    <row r="7" spans="1:4" ht="20" customHeight="1" x14ac:dyDescent="0.2">
      <c r="A7" s="1"/>
      <c r="B7" s="6"/>
      <c r="C7" s="1"/>
    </row>
    <row r="8" spans="1:4" ht="20" customHeight="1" x14ac:dyDescent="0.2">
      <c r="A8" s="4" t="s">
        <v>0</v>
      </c>
      <c r="B8" s="7" t="s">
        <v>26</v>
      </c>
      <c r="C8" s="1"/>
    </row>
    <row r="9" spans="1:4" ht="20" customHeight="1" x14ac:dyDescent="0.2">
      <c r="A9" s="4" t="s">
        <v>1</v>
      </c>
      <c r="B9" s="7" t="s">
        <v>40</v>
      </c>
      <c r="C9" s="1"/>
    </row>
    <row r="10" spans="1:4" ht="20" customHeight="1" x14ac:dyDescent="0.2">
      <c r="A10" s="4" t="s">
        <v>2</v>
      </c>
      <c r="B10" s="7" t="s">
        <v>44</v>
      </c>
      <c r="C10" s="1"/>
    </row>
    <row r="11" spans="1:4" ht="20" customHeight="1" x14ac:dyDescent="0.2">
      <c r="A11" s="4" t="s">
        <v>5</v>
      </c>
      <c r="B11" s="7">
        <v>0.05</v>
      </c>
      <c r="C11" s="1"/>
    </row>
    <row r="12" spans="1:4" ht="20" customHeight="1" x14ac:dyDescent="0.2">
      <c r="A12" s="20" t="s">
        <v>3</v>
      </c>
      <c r="B12" s="7" t="s">
        <v>41</v>
      </c>
    </row>
    <row r="13" spans="1:4" ht="20" customHeight="1" x14ac:dyDescent="0.2">
      <c r="A13" s="21"/>
      <c r="B13" s="4" t="s">
        <v>7</v>
      </c>
      <c r="C13" s="1"/>
    </row>
    <row r="14" spans="1:4" ht="20" customHeight="1" x14ac:dyDescent="0.2">
      <c r="A14" s="4" t="s">
        <v>42</v>
      </c>
      <c r="B14" s="5">
        <f>(B4-D4-0)/SQRT(POWER(B5,2)/B3+POWER(D5,2)/D3)</f>
        <v>0.91573709299126105</v>
      </c>
      <c r="C14" s="1"/>
    </row>
    <row r="15" spans="1:4" ht="20" customHeight="1" x14ac:dyDescent="0.2">
      <c r="A15" s="8" t="s">
        <v>43</v>
      </c>
      <c r="B15" s="9">
        <f>_xlfn.NORM.S.INV(1-B11)</f>
        <v>1.6448536269514715</v>
      </c>
      <c r="C15" s="1"/>
    </row>
    <row r="16" spans="1:4" ht="20" customHeight="1" x14ac:dyDescent="0.2">
      <c r="A16" s="4" t="s">
        <v>6</v>
      </c>
      <c r="B16" s="9">
        <f>1-_xlfn.NORM.S.DIST(B14,TRUE)</f>
        <v>0.17990240246271461</v>
      </c>
      <c r="C16" s="1"/>
    </row>
    <row r="17" spans="1:3" ht="20" customHeight="1" thickBot="1" x14ac:dyDescent="0.25">
      <c r="A17" s="1"/>
      <c r="B17" s="3"/>
      <c r="C17" s="1"/>
    </row>
    <row r="18" spans="1:3" ht="20" customHeight="1" thickBot="1" x14ac:dyDescent="0.25">
      <c r="A18" s="1" t="s">
        <v>4</v>
      </c>
      <c r="B18" s="10" t="s">
        <v>45</v>
      </c>
      <c r="C18" s="1"/>
    </row>
    <row r="19" spans="1:3" ht="20" customHeight="1" x14ac:dyDescent="0.2">
      <c r="A19" s="1"/>
      <c r="B19" s="2"/>
      <c r="C19" s="1"/>
    </row>
    <row r="20" spans="1:3" ht="20" customHeight="1" x14ac:dyDescent="0.2">
      <c r="A20" s="1"/>
      <c r="B20" s="2"/>
      <c r="C20" s="1"/>
    </row>
    <row r="21" spans="1:3" ht="20" customHeight="1" x14ac:dyDescent="0.2">
      <c r="A21" s="3" t="s">
        <v>19</v>
      </c>
    </row>
    <row r="22" spans="1:3" ht="20" customHeight="1" x14ac:dyDescent="0.2">
      <c r="A22" s="16" t="s">
        <v>17</v>
      </c>
      <c r="B22" s="17">
        <f>B4-D4-_xlfn.NORM.S.INV(1-B11/2)*SQRT(POWER(B5,2)/B3+POWER(D5,2)/D3)</f>
        <v>-0.11403129779725529</v>
      </c>
    </row>
    <row r="23" spans="1:3" ht="20" customHeight="1" x14ac:dyDescent="0.2">
      <c r="A23" s="16" t="s">
        <v>18</v>
      </c>
      <c r="B23" s="17">
        <f>B4-D4+_xlfn.NORM.S.INV(1-B11/2)*SQRT(POWER(B5,2)/B3+POWER(D5,2)/D3)</f>
        <v>0.31403129779725547</v>
      </c>
    </row>
  </sheetData>
  <mergeCells count="1">
    <mergeCell ref="A12:A1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529F6-0578-427D-894E-246593E33DA1}">
  <dimension ref="A1:D22"/>
  <sheetViews>
    <sheetView topLeftCell="A8" zoomScale="150" zoomScaleNormal="100" workbookViewId="0">
      <selection activeCell="B18" sqref="B18"/>
    </sheetView>
  </sheetViews>
  <sheetFormatPr baseColWidth="10" defaultColWidth="25.6640625" defaultRowHeight="20" customHeight="1" x14ac:dyDescent="0.2"/>
  <cols>
    <col min="1" max="1" width="28.6640625" style="3" customWidth="1"/>
    <col min="2" max="2" width="25.6640625" style="1"/>
    <col min="3" max="3" width="25.6640625" style="2"/>
    <col min="4" max="16384" width="25.6640625" style="1"/>
  </cols>
  <sheetData>
    <row r="1" spans="1:4" s="14" customFormat="1" ht="20" customHeight="1" x14ac:dyDescent="0.2">
      <c r="A1" s="13" t="s">
        <v>20</v>
      </c>
      <c r="C1" s="15"/>
    </row>
    <row r="2" spans="1:4" ht="20" customHeight="1" x14ac:dyDescent="0.2">
      <c r="A2" s="1"/>
      <c r="B2" s="2"/>
      <c r="C2" s="1"/>
    </row>
    <row r="3" spans="1:4" ht="20" customHeight="1" x14ac:dyDescent="0.2">
      <c r="A3" s="11" t="s">
        <v>11</v>
      </c>
      <c r="B3" s="5">
        <v>8</v>
      </c>
      <c r="C3" s="11" t="s">
        <v>12</v>
      </c>
      <c r="D3" s="5">
        <v>8</v>
      </c>
    </row>
    <row r="4" spans="1:4" ht="20" customHeight="1" x14ac:dyDescent="0.2">
      <c r="A4" s="11" t="s">
        <v>9</v>
      </c>
      <c r="B4" s="5">
        <v>92.254999999999995</v>
      </c>
      <c r="C4" s="11" t="s">
        <v>10</v>
      </c>
      <c r="D4" s="5">
        <v>92.733000000000004</v>
      </c>
    </row>
    <row r="5" spans="1:4" ht="20" customHeight="1" x14ac:dyDescent="0.2">
      <c r="A5" s="11" t="s">
        <v>21</v>
      </c>
      <c r="B5" s="5">
        <v>2.39</v>
      </c>
      <c r="C5" s="11" t="s">
        <v>22</v>
      </c>
      <c r="D5" s="5">
        <v>2.98</v>
      </c>
    </row>
    <row r="6" spans="1:4" ht="20" customHeight="1" x14ac:dyDescent="0.2">
      <c r="A6" s="11" t="s">
        <v>23</v>
      </c>
      <c r="B6" s="5">
        <f>((B3-1)*POWER(B5,2) + (D3-1)*POWER(D5,2))/(B3+D3-2)</f>
        <v>7.2962500000000006</v>
      </c>
      <c r="C6" s="1"/>
    </row>
    <row r="7" spans="1:4" ht="20" customHeight="1" x14ac:dyDescent="0.2">
      <c r="A7" s="1"/>
      <c r="B7" s="6"/>
      <c r="C7" s="1"/>
    </row>
    <row r="8" spans="1:4" ht="20" customHeight="1" x14ac:dyDescent="0.2">
      <c r="A8" s="1"/>
      <c r="B8" s="6"/>
      <c r="C8" s="1"/>
    </row>
    <row r="9" spans="1:4" ht="20" customHeight="1" x14ac:dyDescent="0.2">
      <c r="A9" s="4" t="s">
        <v>0</v>
      </c>
      <c r="B9" s="7" t="s">
        <v>46</v>
      </c>
      <c r="C9" s="1"/>
    </row>
    <row r="10" spans="1:4" ht="20" customHeight="1" x14ac:dyDescent="0.2">
      <c r="A10" s="4" t="s">
        <v>1</v>
      </c>
      <c r="B10" s="7" t="s">
        <v>47</v>
      </c>
      <c r="C10" s="1"/>
    </row>
    <row r="11" spans="1:4" ht="20" customHeight="1" x14ac:dyDescent="0.2">
      <c r="A11" s="4" t="s">
        <v>2</v>
      </c>
      <c r="B11" s="7" t="s">
        <v>48</v>
      </c>
      <c r="C11" s="1"/>
    </row>
    <row r="12" spans="1:4" ht="20" customHeight="1" x14ac:dyDescent="0.2">
      <c r="A12" s="4" t="s">
        <v>5</v>
      </c>
      <c r="B12" s="7">
        <v>0.05</v>
      </c>
      <c r="C12" s="1"/>
    </row>
    <row r="13" spans="1:4" ht="20" customHeight="1" x14ac:dyDescent="0.2">
      <c r="A13" s="20" t="s">
        <v>3</v>
      </c>
      <c r="B13" s="7" t="s">
        <v>49</v>
      </c>
    </row>
    <row r="14" spans="1:4" ht="20" customHeight="1" x14ac:dyDescent="0.2">
      <c r="A14" s="21"/>
      <c r="B14" s="4" t="s">
        <v>7</v>
      </c>
      <c r="C14" s="1"/>
    </row>
    <row r="15" spans="1:4" ht="20" customHeight="1" x14ac:dyDescent="0.2">
      <c r="A15" s="4" t="s">
        <v>51</v>
      </c>
      <c r="B15" s="5">
        <f>(B4-D4-0)/(SQRT(B6)*SQRT(1/B3+1/D3))</f>
        <v>-0.35392239087555299</v>
      </c>
      <c r="C15" s="1"/>
    </row>
    <row r="16" spans="1:4" ht="20" customHeight="1" x14ac:dyDescent="0.2">
      <c r="A16" s="4" t="s">
        <v>24</v>
      </c>
      <c r="B16" s="18">
        <f>B3+D3-2</f>
        <v>14</v>
      </c>
      <c r="C16" s="1"/>
    </row>
    <row r="17" spans="1:3" ht="20" customHeight="1" x14ac:dyDescent="0.2">
      <c r="A17" s="8" t="s">
        <v>50</v>
      </c>
      <c r="B17" s="9">
        <f>_xlfn.T.INV(1-B12/2, B16)</f>
        <v>2.1447866879178035</v>
      </c>
      <c r="C17" s="1"/>
    </row>
    <row r="18" spans="1:3" ht="20" customHeight="1" x14ac:dyDescent="0.2">
      <c r="A18" s="4" t="s">
        <v>6</v>
      </c>
      <c r="B18" s="9">
        <f>_xlfn.T.DIST.2T(ABS(B15),B16)</f>
        <v>0.72867055309702922</v>
      </c>
      <c r="C18" s="1"/>
    </row>
    <row r="19" spans="1:3" ht="20" customHeight="1" thickBot="1" x14ac:dyDescent="0.25">
      <c r="A19" s="1"/>
      <c r="B19" s="3"/>
      <c r="C19" s="1"/>
    </row>
    <row r="20" spans="1:3" ht="20" customHeight="1" thickBot="1" x14ac:dyDescent="0.25">
      <c r="A20" s="1" t="s">
        <v>4</v>
      </c>
      <c r="B20" s="10" t="s">
        <v>52</v>
      </c>
      <c r="C20" s="1"/>
    </row>
    <row r="21" spans="1:3" ht="20" customHeight="1" x14ac:dyDescent="0.2">
      <c r="A21" s="1"/>
      <c r="B21" s="2"/>
      <c r="C21" s="1"/>
    </row>
    <row r="22" spans="1:3" ht="20" customHeight="1" x14ac:dyDescent="0.2">
      <c r="A22" s="1"/>
      <c r="B22" s="2"/>
      <c r="C22" s="1"/>
    </row>
  </sheetData>
  <mergeCells count="1">
    <mergeCell ref="A13:A14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CE472-BD82-4C73-808A-B57CB6B83248}">
  <dimension ref="A1:D21"/>
  <sheetViews>
    <sheetView tabSelected="1" zoomScale="125" zoomScaleNormal="100" workbookViewId="0">
      <selection activeCell="I34" sqref="I34"/>
    </sheetView>
  </sheetViews>
  <sheetFormatPr baseColWidth="10" defaultColWidth="25.6640625" defaultRowHeight="20" customHeight="1" x14ac:dyDescent="0.2"/>
  <cols>
    <col min="1" max="1" width="28.6640625" style="3" customWidth="1"/>
    <col min="2" max="2" width="25.6640625" style="1"/>
    <col min="3" max="3" width="25.6640625" style="2"/>
    <col min="4" max="16384" width="25.6640625" style="1"/>
  </cols>
  <sheetData>
    <row r="1" spans="1:4" s="14" customFormat="1" ht="20" customHeight="1" x14ac:dyDescent="0.2">
      <c r="A1" s="13" t="s">
        <v>25</v>
      </c>
      <c r="C1" s="15"/>
    </row>
    <row r="2" spans="1:4" ht="20" customHeight="1" x14ac:dyDescent="0.2">
      <c r="A2" s="1"/>
      <c r="B2" s="2"/>
      <c r="C2" s="1"/>
    </row>
    <row r="3" spans="1:4" ht="20" customHeight="1" x14ac:dyDescent="0.2">
      <c r="A3" s="11" t="s">
        <v>11</v>
      </c>
      <c r="B3" s="5">
        <v>10</v>
      </c>
      <c r="C3" s="11" t="s">
        <v>12</v>
      </c>
      <c r="D3" s="5">
        <v>10</v>
      </c>
    </row>
    <row r="4" spans="1:4" ht="20" customHeight="1" x14ac:dyDescent="0.2">
      <c r="A4" s="11" t="s">
        <v>9</v>
      </c>
      <c r="B4" s="5">
        <v>12.5</v>
      </c>
      <c r="C4" s="11" t="s">
        <v>10</v>
      </c>
      <c r="D4" s="5">
        <v>27.5</v>
      </c>
    </row>
    <row r="5" spans="1:4" ht="20" customHeight="1" x14ac:dyDescent="0.2">
      <c r="A5" s="11" t="s">
        <v>21</v>
      </c>
      <c r="B5" s="5">
        <v>7.63</v>
      </c>
      <c r="C5" s="11" t="s">
        <v>22</v>
      </c>
      <c r="D5" s="5">
        <v>15.3</v>
      </c>
    </row>
    <row r="6" spans="1:4" ht="20" customHeight="1" x14ac:dyDescent="0.2">
      <c r="A6" s="1"/>
      <c r="B6" s="6"/>
      <c r="C6" s="1"/>
    </row>
    <row r="7" spans="1:4" ht="20" customHeight="1" x14ac:dyDescent="0.2">
      <c r="A7" s="1"/>
      <c r="B7" s="6"/>
      <c r="C7" s="1"/>
    </row>
    <row r="8" spans="1:4" ht="20" customHeight="1" x14ac:dyDescent="0.2">
      <c r="A8" s="4" t="s">
        <v>0</v>
      </c>
      <c r="B8" s="7" t="s">
        <v>53</v>
      </c>
      <c r="C8" s="1"/>
    </row>
    <row r="9" spans="1:4" ht="20" customHeight="1" x14ac:dyDescent="0.2">
      <c r="A9" s="4" t="s">
        <v>1</v>
      </c>
      <c r="B9" s="7" t="s">
        <v>54</v>
      </c>
      <c r="C9" s="1"/>
    </row>
    <row r="10" spans="1:4" ht="20" customHeight="1" x14ac:dyDescent="0.2">
      <c r="A10" s="4" t="s">
        <v>2</v>
      </c>
      <c r="B10" s="7" t="s">
        <v>48</v>
      </c>
      <c r="C10" s="1"/>
    </row>
    <row r="11" spans="1:4" ht="20" customHeight="1" x14ac:dyDescent="0.2">
      <c r="A11" s="4" t="s">
        <v>5</v>
      </c>
      <c r="B11" s="7">
        <v>0.05</v>
      </c>
      <c r="C11" s="1"/>
    </row>
    <row r="12" spans="1:4" ht="20" customHeight="1" x14ac:dyDescent="0.2">
      <c r="A12" s="20" t="s">
        <v>3</v>
      </c>
      <c r="B12" s="7" t="s">
        <v>13</v>
      </c>
    </row>
    <row r="13" spans="1:4" ht="20" customHeight="1" x14ac:dyDescent="0.2">
      <c r="A13" s="21"/>
      <c r="B13" s="4" t="s">
        <v>7</v>
      </c>
      <c r="C13" s="1"/>
    </row>
    <row r="14" spans="1:4" ht="20" customHeight="1" x14ac:dyDescent="0.2">
      <c r="A14" s="4" t="s">
        <v>55</v>
      </c>
      <c r="B14" s="5">
        <f>(B4-D4-0)/SQRT(POWER(B5,2)/B3+POWER(D5,2)/D3)</f>
        <v>-2.7744169270368957</v>
      </c>
      <c r="C14" s="1"/>
    </row>
    <row r="15" spans="1:4" ht="20" customHeight="1" x14ac:dyDescent="0.2">
      <c r="A15" s="4" t="s">
        <v>24</v>
      </c>
      <c r="B15" s="18">
        <f>POWER((POWER(B5,2)/B3+POWER(D5,2)/D3),2)/(POWER(POWER(B5,2)/B3,2)/(B3-1)+POWER((POWER(D5,2)/D3),2)/(D3-1))</f>
        <v>13.215760901884211</v>
      </c>
      <c r="C15" s="1"/>
    </row>
    <row r="16" spans="1:4" ht="20" customHeight="1" x14ac:dyDescent="0.2">
      <c r="A16" s="8" t="s">
        <v>56</v>
      </c>
      <c r="B16" s="9">
        <f>_xlfn.T.INV(1-B11/2, B15)</f>
        <v>2.1603686564627917</v>
      </c>
      <c r="C16" s="1"/>
    </row>
    <row r="17" spans="1:3" ht="20" customHeight="1" x14ac:dyDescent="0.2">
      <c r="A17" s="4" t="s">
        <v>6</v>
      </c>
      <c r="B17" s="9">
        <f>_xlfn.T.DIST.2T(ABS(B14),B15)</f>
        <v>1.5783688581557809E-2</v>
      </c>
      <c r="C17" s="1"/>
    </row>
    <row r="18" spans="1:3" ht="20" customHeight="1" thickBot="1" x14ac:dyDescent="0.25">
      <c r="A18" s="1"/>
      <c r="B18" s="3"/>
      <c r="C18" s="1"/>
    </row>
    <row r="19" spans="1:3" ht="20" customHeight="1" thickBot="1" x14ac:dyDescent="0.25">
      <c r="A19" s="1" t="s">
        <v>4</v>
      </c>
      <c r="B19" s="10" t="s">
        <v>37</v>
      </c>
      <c r="C19" s="1"/>
    </row>
    <row r="20" spans="1:3" ht="20" customHeight="1" x14ac:dyDescent="0.2">
      <c r="A20" s="1"/>
      <c r="B20" s="2"/>
      <c r="C20" s="1"/>
    </row>
    <row r="21" spans="1:3" ht="20" customHeight="1" x14ac:dyDescent="0.2">
      <c r="A21" s="1"/>
      <c r="B21" s="2"/>
      <c r="C21" s="1"/>
    </row>
  </sheetData>
  <mergeCells count="1">
    <mergeCell ref="A12:A13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0BDFB-1267-4BC8-8BC6-D9ABB7AF06E9}">
  <dimension ref="A1:D13"/>
  <sheetViews>
    <sheetView zoomScale="150" zoomScaleNormal="100" workbookViewId="0"/>
  </sheetViews>
  <sheetFormatPr baseColWidth="10" defaultColWidth="25.6640625" defaultRowHeight="20" customHeight="1" x14ac:dyDescent="0.2"/>
  <cols>
    <col min="1" max="1" width="28.6640625" style="3" customWidth="1"/>
    <col min="2" max="2" width="25.6640625" style="1"/>
    <col min="3" max="3" width="25.6640625" style="2"/>
    <col min="4" max="16384" width="25.6640625" style="1"/>
  </cols>
  <sheetData>
    <row r="1" spans="1:4" s="14" customFormat="1" ht="20" customHeight="1" x14ac:dyDescent="0.2">
      <c r="A1" s="13" t="s">
        <v>28</v>
      </c>
      <c r="C1" s="15"/>
    </row>
    <row r="2" spans="1:4" ht="20" customHeight="1" x14ac:dyDescent="0.2">
      <c r="A2" s="1"/>
      <c r="B2" s="2"/>
      <c r="C2" s="1"/>
    </row>
    <row r="3" spans="1:4" ht="20" customHeight="1" x14ac:dyDescent="0.2">
      <c r="A3" s="11" t="s">
        <v>11</v>
      </c>
      <c r="B3" s="5"/>
      <c r="C3" s="11" t="s">
        <v>12</v>
      </c>
      <c r="D3" s="5"/>
    </row>
    <row r="4" spans="1:4" ht="20" customHeight="1" x14ac:dyDescent="0.2">
      <c r="A4" s="11" t="s">
        <v>9</v>
      </c>
      <c r="B4" s="5"/>
      <c r="C4" s="11" t="s">
        <v>10</v>
      </c>
      <c r="D4" s="5"/>
    </row>
    <row r="5" spans="1:4" ht="20" customHeight="1" x14ac:dyDescent="0.2">
      <c r="A5" s="11" t="s">
        <v>21</v>
      </c>
      <c r="B5" s="5"/>
      <c r="C5" s="11" t="s">
        <v>22</v>
      </c>
      <c r="D5" s="5"/>
    </row>
    <row r="6" spans="1:4" ht="20" customHeight="1" x14ac:dyDescent="0.2">
      <c r="A6" s="11" t="s">
        <v>23</v>
      </c>
      <c r="B6" s="5"/>
      <c r="C6" s="1"/>
    </row>
    <row r="7" spans="1:4" ht="20" customHeight="1" x14ac:dyDescent="0.2">
      <c r="A7" s="11" t="s">
        <v>29</v>
      </c>
      <c r="B7" s="5"/>
      <c r="C7" s="1"/>
    </row>
    <row r="8" spans="1:4" ht="20" customHeight="1" x14ac:dyDescent="0.2">
      <c r="A8" s="11" t="s">
        <v>24</v>
      </c>
      <c r="B8" s="5"/>
      <c r="C8" s="1"/>
    </row>
    <row r="9" spans="1:4" ht="20" customHeight="1" x14ac:dyDescent="0.2">
      <c r="A9" s="1"/>
      <c r="B9" s="2"/>
      <c r="C9" s="1"/>
    </row>
    <row r="10" spans="1:4" ht="20" customHeight="1" x14ac:dyDescent="0.2">
      <c r="A10" s="1" t="s">
        <v>30</v>
      </c>
      <c r="B10" s="6"/>
      <c r="C10" s="1"/>
    </row>
    <row r="11" spans="1:4" ht="20" customHeight="1" x14ac:dyDescent="0.2">
      <c r="A11" s="11" t="s">
        <v>31</v>
      </c>
      <c r="B11" s="5"/>
      <c r="C11" s="1"/>
    </row>
    <row r="12" spans="1:4" ht="20" customHeight="1" x14ac:dyDescent="0.2">
      <c r="A12" s="11" t="s">
        <v>32</v>
      </c>
      <c r="B12" s="5"/>
      <c r="C12" s="1"/>
    </row>
    <row r="13" spans="1:4" ht="20" customHeight="1" x14ac:dyDescent="0.2">
      <c r="A13" s="1"/>
      <c r="B13" s="2"/>
      <c r="C13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2022-06-03T14:59:21Z</dcterms:created>
  <dcterms:modified xsi:type="dcterms:W3CDTF">2026-06-11T04:43:10Z</dcterms:modified>
</cp:coreProperties>
</file>