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"/>
    </mc:Choice>
  </mc:AlternateContent>
  <xr:revisionPtr revIDLastSave="0" documentId="13_ncr:1_{3B89C945-C5BD-D44D-B2C0-922E90747706}" xr6:coauthVersionLast="47" xr6:coauthVersionMax="47" xr10:uidLastSave="{00000000-0000-0000-0000-000000000000}"/>
  <bookViews>
    <workbookView xWindow="0" yWindow="600" windowWidth="24080" windowHeight="13180" activeTab="3" xr2:uid="{0FD7D7E0-9F5A-49CF-9E87-4BAE3553A756}"/>
  </bookViews>
  <sheets>
    <sheet name="Sheet1" sheetId="6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5" l="1"/>
  <c r="B16" i="5"/>
  <c r="B14" i="5"/>
  <c r="B13" i="5"/>
  <c r="B12" i="5"/>
  <c r="B29" i="4"/>
  <c r="B30" i="4"/>
  <c r="B28" i="4"/>
  <c r="B20" i="4"/>
  <c r="B19" i="4"/>
  <c r="B18" i="4"/>
  <c r="B21" i="3"/>
  <c r="B20" i="3"/>
  <c r="B18" i="3"/>
  <c r="B17" i="3"/>
  <c r="C22" i="2"/>
  <c r="B22" i="2"/>
  <c r="B21" i="2"/>
  <c r="H11" i="6"/>
  <c r="G11" i="6"/>
  <c r="G10" i="6"/>
  <c r="G9" i="6"/>
  <c r="G8" i="6"/>
  <c r="G19" i="6"/>
  <c r="G18" i="6"/>
  <c r="G17" i="6"/>
  <c r="D2" i="6"/>
  <c r="D3" i="6"/>
  <c r="D4" i="6"/>
  <c r="D5" i="6"/>
  <c r="D6" i="6"/>
  <c r="D7" i="6"/>
  <c r="D8" i="6"/>
  <c r="D9" i="6"/>
  <c r="D10" i="6"/>
  <c r="B24" i="3" l="1"/>
  <c r="B23" i="3"/>
</calcChain>
</file>

<file path=xl/sharedStrings.xml><?xml version="1.0" encoding="utf-8"?>
<sst xmlns="http://schemas.openxmlformats.org/spreadsheetml/2006/main" count="94" uniqueCount="68">
  <si>
    <t>Parameter of Interest</t>
  </si>
  <si>
    <t>Null Hypothesis</t>
  </si>
  <si>
    <t>Alternative Hypothesis</t>
  </si>
  <si>
    <r>
      <t>Significance Level 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)</t>
    </r>
  </si>
  <si>
    <t>Reject Region</t>
  </si>
  <si>
    <r>
      <t xml:space="preserve">Reject H0 if P-value &lt; </t>
    </r>
    <r>
      <rPr>
        <sz val="11"/>
        <color theme="1"/>
        <rFont val="Symbol"/>
        <family val="1"/>
        <charset val="2"/>
      </rPr>
      <t>a</t>
    </r>
  </si>
  <si>
    <t>P-value</t>
  </si>
  <si>
    <t>Accept/Reject Null Hypothesis</t>
  </si>
  <si>
    <t xml:space="preserve">Test Statistic </t>
  </si>
  <si>
    <t>S1</t>
  </si>
  <si>
    <t>S2</t>
  </si>
  <si>
    <t>n1</t>
  </si>
  <si>
    <t>n2</t>
  </si>
  <si>
    <t>s1</t>
  </si>
  <si>
    <t>s2</t>
  </si>
  <si>
    <t>f(1-α/2)</t>
  </si>
  <si>
    <t>f(α/2)</t>
  </si>
  <si>
    <t>α</t>
  </si>
  <si>
    <t>Lower Bound</t>
  </si>
  <si>
    <t>Upper Bound</t>
  </si>
  <si>
    <t>sample proportion 1</t>
  </si>
  <si>
    <t>sample proportion 2</t>
  </si>
  <si>
    <t>total proportion</t>
  </si>
  <si>
    <t>Z(α/2)</t>
  </si>
  <si>
    <t>for variance</t>
  </si>
  <si>
    <t xml:space="preserve">Lower Bound </t>
  </si>
  <si>
    <t>for standard deviation</t>
  </si>
  <si>
    <t>S2/4</t>
  </si>
  <si>
    <t>Degree of Freedom</t>
  </si>
  <si>
    <t>S2/3</t>
  </si>
  <si>
    <t>S2/2</t>
  </si>
  <si>
    <t>S2/1</t>
  </si>
  <si>
    <t>S5/1</t>
  </si>
  <si>
    <t>S4/1</t>
  </si>
  <si>
    <t>S3/1</t>
  </si>
  <si>
    <t>S1/1</t>
  </si>
  <si>
    <t>Difference</t>
  </si>
  <si>
    <t>Lehigh Method</t>
  </si>
  <si>
    <t>Karlsruhe Method</t>
  </si>
  <si>
    <t>Girder</t>
  </si>
  <si>
    <t>mean of differences (Mu-d)</t>
  </si>
  <si>
    <t>H0: Mu-d = 0</t>
  </si>
  <si>
    <t>H1: Mu- d != 0</t>
  </si>
  <si>
    <t>Reject H0 if t0 &gt; t_alpha/2 or t0 &lt; -t_alpha/2</t>
  </si>
  <si>
    <t>n</t>
  </si>
  <si>
    <t>SD of Difference</t>
  </si>
  <si>
    <t>D-bar (mean of difference of all pairs)</t>
  </si>
  <si>
    <t>Reject H0 and Accept H1</t>
  </si>
  <si>
    <t>t (alpha/2)</t>
  </si>
  <si>
    <t xml:space="preserve"> (confidence area)</t>
  </si>
  <si>
    <t xml:space="preserve"> (a variable derived out of confidence area)</t>
  </si>
  <si>
    <t xml:space="preserve"> (an area derived out of t0 variable)</t>
  </si>
  <si>
    <t>Ratio of Variance</t>
  </si>
  <si>
    <t>H0: sigma1^2 = sigma2^2</t>
  </si>
  <si>
    <t>H1: sigma1^2 &lt; sigma2^2</t>
  </si>
  <si>
    <t>Reject H0 if f0 &lt; f1-alpha</t>
  </si>
  <si>
    <t>Test Statistic f0</t>
  </si>
  <si>
    <t>f(1-a)</t>
  </si>
  <si>
    <t>We don't have a strong evidence to reject H0, so we accept H0</t>
  </si>
  <si>
    <t>Placebo</t>
  </si>
  <si>
    <t>St.John Wart</t>
  </si>
  <si>
    <t>difference proportion</t>
  </si>
  <si>
    <t>H0: p1 = p2</t>
  </si>
  <si>
    <t>H1: p1 != p2</t>
  </si>
  <si>
    <t>Reject H0 if z0 &gt; zalpha/2 or z0 &lt; -zalpha2</t>
  </si>
  <si>
    <t>Z alpha/2</t>
  </si>
  <si>
    <t>Test Statistic z0</t>
  </si>
  <si>
    <t>We don't have a strong evidence to reject H0, so we accept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</si>
</sst>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00000"/>
    <numFmt numFmtId="165" formatCode="0.0000"/>
    <numFmt numFmtId="166" formatCode="0.000"/>
    <numFmt numFmtId="167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2" borderId="1" xfId="0" applyNumberFormat="1" applyFill="1" applyBorder="1" applyAlignment="1">
      <alignment horizontal="left" vertical="center"/>
    </xf>
    <xf numFmtId="0" fontId="0" fillId="0" borderId="1" xfId="0" quotePrefix="1" applyBorder="1" applyAlignment="1">
      <alignment vertical="center"/>
    </xf>
    <xf numFmtId="165" fontId="0" fillId="3" borderId="1" xfId="0" applyNumberFormat="1" applyFill="1" applyBorder="1" applyAlignment="1">
      <alignment horizontal="left"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0" fillId="2" borderId="1" xfId="0" applyFill="1" applyBorder="1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7" fontId="0" fillId="0" borderId="1" xfId="0" applyNumberFormat="1" applyBorder="1" applyAlignment="1">
      <alignment horizontal="left" vertical="center"/>
    </xf>
    <xf numFmtId="166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12</xdr:row>
      <xdr:rowOff>19051</xdr:rowOff>
    </xdr:from>
    <xdr:ext cx="4630544" cy="1882775"/>
    <xdr:pic>
      <xdr:nvPicPr>
        <xdr:cNvPr id="2" name="Picture 1">
          <a:extLst>
            <a:ext uri="{FF2B5EF4-FFF2-40B4-BE49-F238E27FC236}">
              <a16:creationId xmlns:a16="http://schemas.microsoft.com/office/drawing/2014/main" id="{795A7A57-96B1-4AE3-A2EB-056905EB7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190751"/>
          <a:ext cx="4630544" cy="18827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34925</xdr:colOff>
      <xdr:row>0</xdr:row>
      <xdr:rowOff>57150</xdr:rowOff>
    </xdr:from>
    <xdr:to>
      <xdr:col>3</xdr:col>
      <xdr:colOff>47625</xdr:colOff>
      <xdr:row>9</xdr:row>
      <xdr:rowOff>160695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7FB00C-5273-416A-8F86-7D3D7EF92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925" y="57150"/>
          <a:ext cx="4908550" cy="1732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28576</xdr:rowOff>
    </xdr:from>
    <xdr:to>
      <xdr:col>5</xdr:col>
      <xdr:colOff>398005</xdr:colOff>
      <xdr:row>9</xdr:row>
      <xdr:rowOff>135779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000140-9218-4B02-A6CA-1DF82B6A9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576"/>
          <a:ext cx="4350880" cy="173597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9524</xdr:colOff>
      <xdr:row>13</xdr:row>
      <xdr:rowOff>63635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06057-1AC5-40B7-BB16-AD1B7D999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295774" cy="24226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3</xdr:col>
      <xdr:colOff>171450</xdr:colOff>
      <xdr:row>8</xdr:row>
      <xdr:rowOff>93296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B31140-2947-4BB8-A77C-20571849E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3630705" cy="1527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7D39B-16B0-41A4-A6E0-68AEC1F55765}">
  <dimension ref="A1:I19"/>
  <sheetViews>
    <sheetView topLeftCell="A16" zoomScale="228" workbookViewId="0">
      <selection activeCell="I12" sqref="I12"/>
    </sheetView>
  </sheetViews>
  <sheetFormatPr baseColWidth="10" defaultColWidth="8.83203125" defaultRowHeight="15" x14ac:dyDescent="0.2"/>
  <cols>
    <col min="1" max="1" width="16.6640625" style="12" customWidth="1"/>
    <col min="2" max="4" width="16.6640625" style="11" customWidth="1"/>
    <col min="6" max="6" width="27.1640625" bestFit="1" customWidth="1"/>
    <col min="7" max="7" width="32" bestFit="1" customWidth="1"/>
  </cols>
  <sheetData>
    <row r="1" spans="1:9" x14ac:dyDescent="0.2">
      <c r="A1" s="17" t="s">
        <v>39</v>
      </c>
      <c r="B1" s="16" t="s">
        <v>38</v>
      </c>
      <c r="C1" s="16" t="s">
        <v>37</v>
      </c>
      <c r="D1" s="16" t="s">
        <v>36</v>
      </c>
    </row>
    <row r="2" spans="1:9" x14ac:dyDescent="0.2">
      <c r="A2" s="14" t="s">
        <v>35</v>
      </c>
      <c r="B2" s="13">
        <v>1.1859999999999999</v>
      </c>
      <c r="C2" s="13">
        <v>1.0609999999999999</v>
      </c>
      <c r="D2" s="13">
        <f t="shared" ref="D2:D10" si="0">B2-C2</f>
        <v>0.125</v>
      </c>
      <c r="F2" s="1" t="s">
        <v>0</v>
      </c>
      <c r="G2" s="2" t="s">
        <v>40</v>
      </c>
    </row>
    <row r="3" spans="1:9" x14ac:dyDescent="0.2">
      <c r="A3" s="14" t="s">
        <v>31</v>
      </c>
      <c r="B3" s="13">
        <v>1.151</v>
      </c>
      <c r="C3" s="13">
        <v>0.99199999999999999</v>
      </c>
      <c r="D3" s="13">
        <f t="shared" si="0"/>
        <v>0.15900000000000003</v>
      </c>
      <c r="F3" s="1" t="s">
        <v>1</v>
      </c>
      <c r="G3" s="2" t="s">
        <v>41</v>
      </c>
    </row>
    <row r="4" spans="1:9" x14ac:dyDescent="0.2">
      <c r="A4" s="14" t="s">
        <v>34</v>
      </c>
      <c r="B4" s="13">
        <v>1.3220000000000001</v>
      </c>
      <c r="C4" s="13">
        <v>1.0629999999999999</v>
      </c>
      <c r="D4" s="13">
        <f t="shared" si="0"/>
        <v>0.25900000000000012</v>
      </c>
      <c r="F4" s="1" t="s">
        <v>2</v>
      </c>
      <c r="G4" s="2" t="s">
        <v>42</v>
      </c>
    </row>
    <row r="5" spans="1:9" x14ac:dyDescent="0.2">
      <c r="A5" s="14" t="s">
        <v>33</v>
      </c>
      <c r="B5" s="13">
        <v>1.339</v>
      </c>
      <c r="C5" s="13">
        <v>1.0620000000000001</v>
      </c>
      <c r="D5" s="13">
        <f t="shared" si="0"/>
        <v>0.27699999999999991</v>
      </c>
      <c r="F5" s="1" t="s">
        <v>3</v>
      </c>
      <c r="G5" s="2">
        <v>1E-3</v>
      </c>
      <c r="H5" t="s">
        <v>49</v>
      </c>
    </row>
    <row r="6" spans="1:9" x14ac:dyDescent="0.2">
      <c r="A6" s="14" t="s">
        <v>32</v>
      </c>
      <c r="B6" s="13">
        <v>1.2</v>
      </c>
      <c r="C6" s="13">
        <v>1.0649999999999999</v>
      </c>
      <c r="D6" s="13">
        <f t="shared" si="0"/>
        <v>0.13500000000000001</v>
      </c>
      <c r="F6" s="18" t="s">
        <v>4</v>
      </c>
      <c r="G6" s="2" t="s">
        <v>43</v>
      </c>
    </row>
    <row r="7" spans="1:9" x14ac:dyDescent="0.2">
      <c r="A7" s="14" t="s">
        <v>31</v>
      </c>
      <c r="B7" s="13">
        <v>1.4019999999999999</v>
      </c>
      <c r="C7" s="13">
        <v>1.1779999999999999</v>
      </c>
      <c r="D7" s="13">
        <f t="shared" si="0"/>
        <v>0.22399999999999998</v>
      </c>
      <c r="F7" s="19"/>
      <c r="G7" s="1" t="s">
        <v>5</v>
      </c>
    </row>
    <row r="8" spans="1:9" x14ac:dyDescent="0.2">
      <c r="A8" s="14" t="s">
        <v>30</v>
      </c>
      <c r="B8" s="13">
        <v>1.365</v>
      </c>
      <c r="C8" s="13">
        <v>1.0369999999999999</v>
      </c>
      <c r="D8" s="13">
        <f t="shared" si="0"/>
        <v>0.32800000000000007</v>
      </c>
      <c r="F8" s="1" t="s">
        <v>8</v>
      </c>
      <c r="G8" s="4">
        <f>(G17-0)/(G18/SQRT(G19))</f>
        <v>6.0819394375848272</v>
      </c>
    </row>
    <row r="9" spans="1:9" x14ac:dyDescent="0.2">
      <c r="A9" s="14" t="s">
        <v>29</v>
      </c>
      <c r="B9" s="13">
        <v>1.5369999999999999</v>
      </c>
      <c r="C9" s="13">
        <v>1.0860000000000001</v>
      </c>
      <c r="D9" s="13">
        <f t="shared" si="0"/>
        <v>0.45099999999999985</v>
      </c>
      <c r="F9" s="1" t="s">
        <v>28</v>
      </c>
      <c r="G9" s="15">
        <f>G19-1</f>
        <v>8</v>
      </c>
    </row>
    <row r="10" spans="1:9" x14ac:dyDescent="0.2">
      <c r="A10" s="14" t="s">
        <v>27</v>
      </c>
      <c r="B10" s="13">
        <v>1.5589999999999999</v>
      </c>
      <c r="C10" s="13">
        <v>1.052</v>
      </c>
      <c r="D10" s="13">
        <f t="shared" si="0"/>
        <v>0.5069999999999999</v>
      </c>
      <c r="F10" s="5" t="s">
        <v>48</v>
      </c>
      <c r="G10" s="6">
        <f>_xlfn.T.INV.2T(G5, G9)</f>
        <v>5.0413054333733669</v>
      </c>
      <c r="H10" t="s">
        <v>50</v>
      </c>
    </row>
    <row r="11" spans="1:9" x14ac:dyDescent="0.2">
      <c r="F11" s="1" t="s">
        <v>6</v>
      </c>
      <c r="G11" s="6">
        <f>2*(1-_xlfn.T.DIST(G8, G9, TRUE))</f>
        <v>2.9529546278594943E-4</v>
      </c>
      <c r="H11">
        <f>_xlfn.T.DIST.2T(G8, G9)</f>
        <v>2.9529546278604039E-4</v>
      </c>
      <c r="I11" t="s">
        <v>51</v>
      </c>
    </row>
    <row r="12" spans="1:9" ht="16" thickBot="1" x14ac:dyDescent="0.25">
      <c r="F12" s="7"/>
      <c r="G12" s="8"/>
    </row>
    <row r="13" spans="1:9" ht="16" thickBot="1" x14ac:dyDescent="0.25">
      <c r="F13" s="7" t="s">
        <v>7</v>
      </c>
      <c r="G13" s="9" t="s">
        <v>47</v>
      </c>
    </row>
    <row r="17" spans="6:7" x14ac:dyDescent="0.2">
      <c r="F17" t="s">
        <v>46</v>
      </c>
      <c r="G17" s="20">
        <f>AVERAGE(D2:D10)</f>
        <v>0.27388888888888885</v>
      </c>
    </row>
    <row r="18" spans="6:7" x14ac:dyDescent="0.2">
      <c r="F18" t="s">
        <v>45</v>
      </c>
      <c r="G18">
        <f>_xlfn.STDEV.S(D2:D10)</f>
        <v>0.13509944896671891</v>
      </c>
    </row>
    <row r="19" spans="6:7" x14ac:dyDescent="0.2">
      <c r="F19" t="s">
        <v>44</v>
      </c>
      <c r="G19">
        <f>COUNT(D2:D10)</f>
        <v>9</v>
      </c>
    </row>
  </sheetData>
  <mergeCells count="1">
    <mergeCell ref="F6:F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69749-CB4A-43F7-91CE-D1023A939EB6}">
  <dimension ref="A12:C24"/>
  <sheetViews>
    <sheetView topLeftCell="A14" zoomScale="200" workbookViewId="0">
      <selection activeCell="B22" sqref="B22"/>
    </sheetView>
  </sheetViews>
  <sheetFormatPr baseColWidth="10" defaultColWidth="8.83203125" defaultRowHeight="15" x14ac:dyDescent="0.2"/>
  <cols>
    <col min="1" max="2" width="30.6640625" customWidth="1"/>
  </cols>
  <sheetData>
    <row r="12" spans="1:2" x14ac:dyDescent="0.2">
      <c r="A12" t="s">
        <v>11</v>
      </c>
      <c r="B12">
        <v>16</v>
      </c>
    </row>
    <row r="13" spans="1:2" x14ac:dyDescent="0.2">
      <c r="A13" t="s">
        <v>12</v>
      </c>
      <c r="B13">
        <v>16</v>
      </c>
    </row>
    <row r="14" spans="1:2" x14ac:dyDescent="0.2">
      <c r="A14" t="s">
        <v>9</v>
      </c>
      <c r="B14">
        <v>1.96</v>
      </c>
    </row>
    <row r="15" spans="1:2" x14ac:dyDescent="0.2">
      <c r="A15" t="s">
        <v>10</v>
      </c>
      <c r="B15">
        <v>2.13</v>
      </c>
    </row>
    <row r="16" spans="1:2" x14ac:dyDescent="0.2">
      <c r="A16" s="1" t="s">
        <v>0</v>
      </c>
      <c r="B16" s="2" t="s">
        <v>52</v>
      </c>
    </row>
    <row r="17" spans="1:3" x14ac:dyDescent="0.2">
      <c r="A17" s="1" t="s">
        <v>1</v>
      </c>
      <c r="B17" s="2" t="s">
        <v>53</v>
      </c>
    </row>
    <row r="18" spans="1:3" x14ac:dyDescent="0.2">
      <c r="A18" s="1" t="s">
        <v>2</v>
      </c>
      <c r="B18" s="2" t="s">
        <v>54</v>
      </c>
    </row>
    <row r="19" spans="1:3" x14ac:dyDescent="0.2">
      <c r="A19" s="1" t="s">
        <v>3</v>
      </c>
      <c r="B19" s="2">
        <v>0.05</v>
      </c>
    </row>
    <row r="20" spans="1:3" x14ac:dyDescent="0.2">
      <c r="A20" s="3" t="s">
        <v>4</v>
      </c>
      <c r="B20" s="2" t="s">
        <v>55</v>
      </c>
    </row>
    <row r="21" spans="1:3" x14ac:dyDescent="0.2">
      <c r="A21" s="1" t="s">
        <v>56</v>
      </c>
      <c r="B21" s="4">
        <f>B14^2/B15^2</f>
        <v>0.84674557517247462</v>
      </c>
    </row>
    <row r="22" spans="1:3" x14ac:dyDescent="0.2">
      <c r="A22" s="5" t="s">
        <v>57</v>
      </c>
      <c r="B22" s="6">
        <f>_xlfn.F.INV.RT(1-B19, B12-1, B13-1)</f>
        <v>0.41606907506302476</v>
      </c>
      <c r="C22">
        <f>_xlfn.F.INV(B19, B12-1, B13-1)</f>
        <v>0.41606907506302482</v>
      </c>
    </row>
    <row r="23" spans="1:3" ht="16" thickBot="1" x14ac:dyDescent="0.25">
      <c r="A23" s="7"/>
      <c r="B23" s="8"/>
    </row>
    <row r="24" spans="1:3" ht="16" thickBot="1" x14ac:dyDescent="0.25">
      <c r="A24" s="7" t="s">
        <v>7</v>
      </c>
      <c r="B24" s="9" t="s">
        <v>58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B4C5B-F76C-435D-AE3D-0E7205B28105}">
  <dimension ref="A12:D24"/>
  <sheetViews>
    <sheetView zoomScale="150" zoomScaleNormal="100" workbookViewId="0">
      <selection activeCell="B20" sqref="B20"/>
    </sheetView>
  </sheetViews>
  <sheetFormatPr baseColWidth="10" defaultColWidth="8.83203125" defaultRowHeight="15" x14ac:dyDescent="0.2"/>
  <cols>
    <col min="1" max="2" width="15.6640625" customWidth="1"/>
  </cols>
  <sheetData>
    <row r="12" spans="1:2" x14ac:dyDescent="0.2">
      <c r="A12" t="s">
        <v>13</v>
      </c>
      <c r="B12">
        <v>5.0999999999999996</v>
      </c>
    </row>
    <row r="13" spans="1:2" x14ac:dyDescent="0.2">
      <c r="A13" t="s">
        <v>14</v>
      </c>
      <c r="B13">
        <v>4.7</v>
      </c>
    </row>
    <row r="14" spans="1:2" x14ac:dyDescent="0.2">
      <c r="A14" t="s">
        <v>11</v>
      </c>
      <c r="B14">
        <v>11</v>
      </c>
    </row>
    <row r="15" spans="1:2" x14ac:dyDescent="0.2">
      <c r="A15" t="s">
        <v>12</v>
      </c>
      <c r="B15">
        <v>16</v>
      </c>
    </row>
    <row r="16" spans="1:2" x14ac:dyDescent="0.2">
      <c r="A16" t="s">
        <v>17</v>
      </c>
      <c r="B16">
        <v>0.1</v>
      </c>
    </row>
    <row r="17" spans="1:4" x14ac:dyDescent="0.2">
      <c r="A17" t="s">
        <v>15</v>
      </c>
      <c r="B17">
        <f>_xlfn.F.INV.RT(1-B16/2, B15-1, B14-1)</f>
        <v>0.39312525362554968</v>
      </c>
    </row>
    <row r="18" spans="1:4" x14ac:dyDescent="0.2">
      <c r="A18" t="s">
        <v>16</v>
      </c>
      <c r="B18">
        <f>_xlfn.F.INV.RT(B16/2, B15-1, B14-1)</f>
        <v>2.8450165269958458</v>
      </c>
    </row>
    <row r="20" spans="1:4" x14ac:dyDescent="0.2">
      <c r="A20" t="s">
        <v>18</v>
      </c>
      <c r="B20" s="10">
        <f>B12^2/B13^2*(B17)</f>
        <v>0.4628876345314869</v>
      </c>
      <c r="D20" t="s">
        <v>24</v>
      </c>
    </row>
    <row r="21" spans="1:4" x14ac:dyDescent="0.2">
      <c r="A21" t="s">
        <v>19</v>
      </c>
      <c r="B21" s="10">
        <f>B12^2/B13^2*(B18)</f>
        <v>3.3498813882825682</v>
      </c>
    </row>
    <row r="23" spans="1:4" x14ac:dyDescent="0.2">
      <c r="A23" t="s">
        <v>25</v>
      </c>
      <c r="B23" s="10">
        <f>SQRT(B20)</f>
        <v>0.6803584603218269</v>
      </c>
      <c r="D23" t="s">
        <v>26</v>
      </c>
    </row>
    <row r="24" spans="1:4" x14ac:dyDescent="0.2">
      <c r="A24" t="s">
        <v>19</v>
      </c>
      <c r="B24" s="10">
        <f>SQRT(B21)</f>
        <v>1.8302681192335095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94D67-B8A2-4E69-BB10-3F221ACAA683}">
  <dimension ref="A16:C32"/>
  <sheetViews>
    <sheetView tabSelected="1" topLeftCell="A21" zoomScale="186" workbookViewId="0">
      <selection activeCell="B29" sqref="B29"/>
    </sheetView>
  </sheetViews>
  <sheetFormatPr baseColWidth="10" defaultColWidth="8.83203125" defaultRowHeight="15" x14ac:dyDescent="0.2"/>
  <cols>
    <col min="1" max="2" width="30.6640625" customWidth="1"/>
  </cols>
  <sheetData>
    <row r="16" spans="1:2" x14ac:dyDescent="0.2">
      <c r="A16" t="s">
        <v>11</v>
      </c>
      <c r="B16">
        <v>100</v>
      </c>
    </row>
    <row r="17" spans="1:3" x14ac:dyDescent="0.2">
      <c r="A17" t="s">
        <v>12</v>
      </c>
      <c r="B17">
        <v>100</v>
      </c>
    </row>
    <row r="18" spans="1:3" x14ac:dyDescent="0.2">
      <c r="A18" t="s">
        <v>20</v>
      </c>
      <c r="B18">
        <f>19/100</f>
        <v>0.19</v>
      </c>
      <c r="C18" t="s">
        <v>59</v>
      </c>
    </row>
    <row r="19" spans="1:3" x14ac:dyDescent="0.2">
      <c r="A19" t="s">
        <v>21</v>
      </c>
      <c r="B19">
        <f>27/100</f>
        <v>0.27</v>
      </c>
      <c r="C19" t="s">
        <v>60</v>
      </c>
    </row>
    <row r="20" spans="1:3" x14ac:dyDescent="0.2">
      <c r="A20" t="s">
        <v>22</v>
      </c>
      <c r="B20">
        <f>(19+27)/200</f>
        <v>0.23</v>
      </c>
    </row>
    <row r="22" spans="1:3" x14ac:dyDescent="0.2">
      <c r="A22" s="1" t="s">
        <v>0</v>
      </c>
      <c r="B22" s="2" t="s">
        <v>61</v>
      </c>
    </row>
    <row r="23" spans="1:3" x14ac:dyDescent="0.2">
      <c r="A23" s="1" t="s">
        <v>1</v>
      </c>
      <c r="B23" s="2" t="s">
        <v>62</v>
      </c>
    </row>
    <row r="24" spans="1:3" x14ac:dyDescent="0.2">
      <c r="A24" s="1" t="s">
        <v>2</v>
      </c>
      <c r="B24" s="2" t="s">
        <v>63</v>
      </c>
    </row>
    <row r="25" spans="1:3" x14ac:dyDescent="0.2">
      <c r="A25" s="1" t="s">
        <v>3</v>
      </c>
      <c r="B25" s="2">
        <v>0.05</v>
      </c>
    </row>
    <row r="26" spans="1:3" x14ac:dyDescent="0.2">
      <c r="A26" s="18" t="s">
        <v>4</v>
      </c>
      <c r="B26" s="2" t="s">
        <v>64</v>
      </c>
    </row>
    <row r="27" spans="1:3" x14ac:dyDescent="0.2">
      <c r="A27" s="19"/>
      <c r="B27" s="1" t="s">
        <v>5</v>
      </c>
    </row>
    <row r="28" spans="1:3" x14ac:dyDescent="0.2">
      <c r="A28" s="1" t="s">
        <v>66</v>
      </c>
      <c r="B28" s="4">
        <f>(B18-B19)/SQRT(B20*(1-B20)*(1/B16+1/B17))</f>
        <v>-1.3442056254198995</v>
      </c>
    </row>
    <row r="29" spans="1:3" x14ac:dyDescent="0.2">
      <c r="A29" s="5" t="s">
        <v>65</v>
      </c>
      <c r="B29" s="6">
        <f>_xlfn.NORM.S.INV(1-B25/2)</f>
        <v>1.9599639845400536</v>
      </c>
    </row>
    <row r="30" spans="1:3" x14ac:dyDescent="0.2">
      <c r="A30" s="1" t="s">
        <v>6</v>
      </c>
      <c r="B30" s="6">
        <f>2*(1-_xlfn.NORM.S.DIST(ABS(B28), TRUE))</f>
        <v>0.17888190308175567</v>
      </c>
    </row>
    <row r="31" spans="1:3" ht="16" thickBot="1" x14ac:dyDescent="0.25">
      <c r="A31" s="7"/>
      <c r="B31" s="8"/>
    </row>
    <row r="32" spans="1:3" ht="16" thickBot="1" x14ac:dyDescent="0.25">
      <c r="A32" s="7" t="s">
        <v>7</v>
      </c>
      <c r="B32" s="9" t="s">
        <v>67</v>
      </c>
    </row>
  </sheetData>
  <mergeCells count="1">
    <mergeCell ref="A26:A2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44481-31F8-4602-8970-6BAE1510CBF2}">
  <dimension ref="A10:B17"/>
  <sheetViews>
    <sheetView topLeftCell="A6" zoomScale="190" zoomScaleNormal="100" workbookViewId="0">
      <selection activeCell="B18" sqref="B18"/>
    </sheetView>
  </sheetViews>
  <sheetFormatPr baseColWidth="10" defaultColWidth="8.83203125" defaultRowHeight="15" x14ac:dyDescent="0.2"/>
  <cols>
    <col min="1" max="2" width="20.6640625" customWidth="1"/>
  </cols>
  <sheetData>
    <row r="10" spans="1:2" x14ac:dyDescent="0.2">
      <c r="A10" t="s">
        <v>11</v>
      </c>
      <c r="B10">
        <v>100</v>
      </c>
    </row>
    <row r="11" spans="1:2" x14ac:dyDescent="0.2">
      <c r="A11" t="s">
        <v>12</v>
      </c>
      <c r="B11">
        <v>100</v>
      </c>
    </row>
    <row r="12" spans="1:2" x14ac:dyDescent="0.2">
      <c r="A12" t="s">
        <v>20</v>
      </c>
      <c r="B12">
        <f>19/100</f>
        <v>0.19</v>
      </c>
    </row>
    <row r="13" spans="1:2" x14ac:dyDescent="0.2">
      <c r="A13" t="s">
        <v>21</v>
      </c>
      <c r="B13">
        <f>27/100</f>
        <v>0.27</v>
      </c>
    </row>
    <row r="14" spans="1:2" x14ac:dyDescent="0.2">
      <c r="A14" t="s">
        <v>23</v>
      </c>
      <c r="B14">
        <f>_xlfn.NORM.S.INV(1-0.025)</f>
        <v>1.9599639845400536</v>
      </c>
    </row>
    <row r="16" spans="1:2" x14ac:dyDescent="0.2">
      <c r="A16" t="s">
        <v>18</v>
      </c>
      <c r="B16" s="10">
        <f>B12-B13-B14*SQRT((B12*(1-B12)/B10)+(B13*(1-B13)/B11))</f>
        <v>-0.19611856208477774</v>
      </c>
    </row>
    <row r="17" spans="1:2" x14ac:dyDescent="0.2">
      <c r="A17" t="s">
        <v>19</v>
      </c>
      <c r="B17" s="10">
        <f>B12-B13+B14*SQRT((B12*(1-B12)/B10)+(B13*(1-B13)/B11))</f>
        <v>3.6118562084777692E-2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2022-06-16T16:46:12Z</dcterms:created>
  <dcterms:modified xsi:type="dcterms:W3CDTF">2026-06-16T04:50:43Z</dcterms:modified>
</cp:coreProperties>
</file>