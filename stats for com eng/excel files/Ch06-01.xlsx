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14798386-4061-FF4C-874A-31389E542609}" xr6:coauthVersionLast="47" xr6:coauthVersionMax="47" xr10:uidLastSave="{00000000-0000-0000-0000-000000000000}"/>
  <bookViews>
    <workbookView xWindow="0" yWindow="600" windowWidth="20480" windowHeight="11000" xr2:uid="{0900C177-0103-404A-B722-511C268DDC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S11" i="2"/>
  <c r="R9" i="2"/>
  <c r="Q9" i="2"/>
  <c r="S10" i="2"/>
  <c r="U9" i="2"/>
  <c r="V9" i="2"/>
  <c r="U4" i="2"/>
  <c r="U5" i="2"/>
  <c r="U6" i="2"/>
  <c r="U7" i="2"/>
  <c r="U3" i="2"/>
  <c r="L12" i="2"/>
  <c r="L11" i="2"/>
  <c r="N9" i="2"/>
  <c r="M9" i="2"/>
  <c r="N4" i="2"/>
  <c r="N5" i="2"/>
  <c r="N6" i="2"/>
  <c r="N7" i="2"/>
  <c r="N3" i="2"/>
  <c r="M4" i="2"/>
  <c r="M5" i="2"/>
  <c r="M6" i="2"/>
  <c r="M7" i="2"/>
  <c r="M3" i="2"/>
  <c r="L4" i="2"/>
  <c r="L5" i="2"/>
  <c r="L6" i="2"/>
  <c r="L7" i="2"/>
  <c r="L3" i="2"/>
  <c r="K4" i="2"/>
  <c r="K5" i="2"/>
  <c r="K6" i="2"/>
  <c r="K7" i="2"/>
  <c r="K3" i="2"/>
  <c r="J9" i="2"/>
  <c r="I9" i="2"/>
  <c r="B52" i="1"/>
  <c r="B51" i="1"/>
  <c r="B58" i="1"/>
  <c r="B59" i="1"/>
  <c r="N23" i="1"/>
  <c r="K2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B57" i="1"/>
  <c r="B55" i="1"/>
  <c r="C37" i="1"/>
  <c r="J2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28" i="1"/>
  <c r="G27" i="1"/>
  <c r="G24" i="1"/>
  <c r="F2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" i="1"/>
  <c r="D4" i="1"/>
  <c r="D2" i="1"/>
  <c r="C23" i="1"/>
  <c r="B23" i="1"/>
</calcChain>
</file>

<file path=xl/sharedStrings.xml><?xml version="1.0" encoding="utf-8"?>
<sst xmlns="http://schemas.openxmlformats.org/spreadsheetml/2006/main" count="76" uniqueCount="59">
  <si>
    <t>Observation Number</t>
  </si>
  <si>
    <t>Suppose we use the Oxygen Purity data, find a 95% prediction interval on the next observation of oxygen purity at x = 1.00%.</t>
  </si>
  <si>
    <t>Time</t>
  </si>
  <si>
    <t>Activity</t>
  </si>
  <si>
    <t>1. Construct the linear regression model of activity on time.</t>
  </si>
  <si>
    <t>2. Construct the linear regression model of time on activity.</t>
  </si>
  <si>
    <t xml:space="preserve">3. According to the linear model, when will the activity be 80%? When will the drug have lost all activity? </t>
  </si>
  <si>
    <t>hydrocarbon level</t>
  </si>
  <si>
    <t>purity</t>
  </si>
  <si>
    <t>I can't customize graph In excel in mac… Macbook is worse than I thought</t>
  </si>
  <si>
    <t>Y-bar</t>
  </si>
  <si>
    <t>Xi-Xbar</t>
  </si>
  <si>
    <t>Yi-Ybar</t>
  </si>
  <si>
    <t>(Xi-Xbar)^2</t>
  </si>
  <si>
    <t>(Xi-Xbar)*(Yi-Ybar)</t>
  </si>
  <si>
    <t>X-bar (x mean)</t>
  </si>
  <si>
    <t>B1 = Sxy / Sxx</t>
  </si>
  <si>
    <t>Y-pred = B0 + B1X</t>
  </si>
  <si>
    <t>Y-pred = 74.28 + 14.95x</t>
  </si>
  <si>
    <t>B0 = ybar - B1*xbar</t>
  </si>
  <si>
    <r>
      <rPr>
        <sz val="11"/>
        <color rgb="FFFF0000"/>
        <rFont val="Calibri (Body)"/>
      </rPr>
      <t>Sxx</t>
    </r>
    <r>
      <rPr>
        <sz val="11"/>
        <color theme="1"/>
        <rFont val="Calibri"/>
        <family val="2"/>
        <scheme val="minor"/>
      </rPr>
      <t xml:space="preserve"> (sum of above column)</t>
    </r>
  </si>
  <si>
    <r>
      <rPr>
        <sz val="11"/>
        <color rgb="FFFF0000"/>
        <rFont val="Calibri (Body)"/>
      </rPr>
      <t>Sxy</t>
    </r>
    <r>
      <rPr>
        <sz val="11"/>
        <color theme="1"/>
        <rFont val="Calibri"/>
        <family val="2"/>
        <scheme val="minor"/>
      </rPr>
      <t xml:space="preserve"> (sum of above column)</t>
    </r>
  </si>
  <si>
    <t>And then we have regression model, which can be used to predict the future</t>
  </si>
  <si>
    <t>Hydrocarbon Level (Xi)</t>
  </si>
  <si>
    <t>Purity (Yi)</t>
  </si>
  <si>
    <t>Error</t>
  </si>
  <si>
    <t>average error</t>
  </si>
  <si>
    <t>If we know that x (hydrocarbon level) = 1 . What is the value of Y (purity)</t>
  </si>
  <si>
    <t>regression model is a practice of making a prediction model</t>
  </si>
  <si>
    <t>NOTE : confidence interval (lower bound, upper bound) can be found with specific confidence value to ensure that with % the true data will not deviate out of the bound of the expected value</t>
  </si>
  <si>
    <t>lower bound</t>
  </si>
  <si>
    <t>upper bound</t>
  </si>
  <si>
    <t>X0 (the exact point) =</t>
  </si>
  <si>
    <t xml:space="preserve">Y0 (the exact point, from regression model) = </t>
  </si>
  <si>
    <t>alpha</t>
  </si>
  <si>
    <t>n</t>
  </si>
  <si>
    <t>sigma square</t>
  </si>
  <si>
    <t>Error^2</t>
  </si>
  <si>
    <t>SSE = sum sqaure error</t>
  </si>
  <si>
    <t>sigma^2</t>
  </si>
  <si>
    <t>t(alpha/2), use positive side because we want to get positive value</t>
  </si>
  <si>
    <t>time</t>
  </si>
  <si>
    <t>activity</t>
  </si>
  <si>
    <t>y is activity</t>
  </si>
  <si>
    <t>y is time</t>
  </si>
  <si>
    <t>y is time, x is activity</t>
  </si>
  <si>
    <t>Xi - Xbar</t>
  </si>
  <si>
    <t>Yi - Ybar</t>
  </si>
  <si>
    <t>Xbar</t>
  </si>
  <si>
    <t>Ybar</t>
  </si>
  <si>
    <t>Sxx</t>
  </si>
  <si>
    <t>Sxy</t>
  </si>
  <si>
    <t>(Xi-Xbar)(Yi-Ybar)</t>
  </si>
  <si>
    <t>Beta1</t>
  </si>
  <si>
    <t>Beta0</t>
  </si>
  <si>
    <t>y=106.2-11.4*x</t>
  </si>
  <si>
    <t>y=9.218-0.086*x</t>
  </si>
  <si>
    <t>x=80</t>
  </si>
  <si>
    <t>x=0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</si>
</sst>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 (Body)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2" fontId="0" fillId="0" borderId="0" xfId="0" applyNumberFormat="1"/>
    <xf numFmtId="2" fontId="0" fillId="0" borderId="1" xfId="0" applyNumberFormat="1" applyBorder="1"/>
    <xf numFmtId="2" fontId="0" fillId="4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4" borderId="1" xfId="0" applyNumberFormat="1" applyFill="1" applyBorder="1" applyAlignment="1">
      <alignment horizontal="center"/>
    </xf>
    <xf numFmtId="0" fontId="0" fillId="2" borderId="1" xfId="0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Sheet1!$B$2:$B$21</c:f>
              <c:numCache>
                <c:formatCode>0.00</c:formatCode>
                <c:ptCount val="20"/>
                <c:pt idx="0">
                  <c:v>0.99</c:v>
                </c:pt>
                <c:pt idx="1">
                  <c:v>1.02</c:v>
                </c:pt>
                <c:pt idx="2">
                  <c:v>1.1499999999999999</c:v>
                </c:pt>
                <c:pt idx="3">
                  <c:v>1.29</c:v>
                </c:pt>
                <c:pt idx="4">
                  <c:v>1.46</c:v>
                </c:pt>
                <c:pt idx="5">
                  <c:v>1.36</c:v>
                </c:pt>
                <c:pt idx="6">
                  <c:v>0.87</c:v>
                </c:pt>
                <c:pt idx="7">
                  <c:v>1.23</c:v>
                </c:pt>
                <c:pt idx="8">
                  <c:v>1.55</c:v>
                </c:pt>
                <c:pt idx="9">
                  <c:v>1.4</c:v>
                </c:pt>
                <c:pt idx="10">
                  <c:v>1.19</c:v>
                </c:pt>
                <c:pt idx="11">
                  <c:v>1.1499999999999999</c:v>
                </c:pt>
                <c:pt idx="12">
                  <c:v>0.98</c:v>
                </c:pt>
                <c:pt idx="13">
                  <c:v>1.01</c:v>
                </c:pt>
                <c:pt idx="14">
                  <c:v>1.1100000000000001</c:v>
                </c:pt>
                <c:pt idx="15">
                  <c:v>1.2</c:v>
                </c:pt>
                <c:pt idx="16">
                  <c:v>1.26</c:v>
                </c:pt>
                <c:pt idx="17">
                  <c:v>1.32</c:v>
                </c:pt>
                <c:pt idx="18">
                  <c:v>1.43</c:v>
                </c:pt>
                <c:pt idx="19">
                  <c:v>0.95</c:v>
                </c:pt>
              </c:numCache>
            </c:numRef>
          </c:xVal>
          <c:yVal>
            <c:numRef>
              <c:f>Sheet1!$C$2:$C$21</c:f>
              <c:numCache>
                <c:formatCode>0.00</c:formatCode>
                <c:ptCount val="20"/>
                <c:pt idx="0">
                  <c:v>90.01</c:v>
                </c:pt>
                <c:pt idx="1">
                  <c:v>89.05</c:v>
                </c:pt>
                <c:pt idx="2">
                  <c:v>91.43</c:v>
                </c:pt>
                <c:pt idx="3">
                  <c:v>93.74</c:v>
                </c:pt>
                <c:pt idx="4">
                  <c:v>96.73</c:v>
                </c:pt>
                <c:pt idx="5">
                  <c:v>94.45</c:v>
                </c:pt>
                <c:pt idx="6">
                  <c:v>87.59</c:v>
                </c:pt>
                <c:pt idx="7">
                  <c:v>91.77</c:v>
                </c:pt>
                <c:pt idx="8">
                  <c:v>99.42</c:v>
                </c:pt>
                <c:pt idx="9">
                  <c:v>93.65</c:v>
                </c:pt>
                <c:pt idx="10">
                  <c:v>93.54</c:v>
                </c:pt>
                <c:pt idx="11">
                  <c:v>92.52</c:v>
                </c:pt>
                <c:pt idx="12">
                  <c:v>90.56</c:v>
                </c:pt>
                <c:pt idx="13">
                  <c:v>89.54</c:v>
                </c:pt>
                <c:pt idx="14">
                  <c:v>89.85</c:v>
                </c:pt>
                <c:pt idx="15">
                  <c:v>90.39</c:v>
                </c:pt>
                <c:pt idx="16">
                  <c:v>93.25</c:v>
                </c:pt>
                <c:pt idx="17">
                  <c:v>93.41</c:v>
                </c:pt>
                <c:pt idx="18">
                  <c:v>94.98</c:v>
                </c:pt>
                <c:pt idx="19">
                  <c:v>87.33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4-824A-AFC3-B37F9B476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729023"/>
        <c:axId val="997723647"/>
      </c:scatterChart>
      <c:valAx>
        <c:axId val="99772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997723647"/>
        <c:crosses val="autoZero"/>
        <c:crossBetween val="midCat"/>
      </c:valAx>
      <c:valAx>
        <c:axId val="9977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99772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290244</xdr:colOff>
      <xdr:row>1</xdr:row>
      <xdr:rowOff>65715</xdr:rowOff>
    </xdr:from>
    <xdr:to>
      <xdr:col>23</xdr:col>
      <xdr:colOff>150543</xdr:colOff>
      <xdr:row>13</xdr:row>
      <xdr:rowOff>65715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2FF10-A538-F414-9C84-FBE40B821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1283199</xdr:colOff>
      <xdr:row>23</xdr:row>
      <xdr:rowOff>210471</xdr:rowOff>
    </xdr:from>
    <xdr:to>
      <xdr:col>4</xdr:col>
      <xdr:colOff>550794</xdr:colOff>
      <xdr:row>32</xdr:row>
      <xdr:rowOff>217511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B81F57-5D73-810A-6A45-130781CCE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3381" y="5521380"/>
          <a:ext cx="3077595" cy="2085222"/>
        </a:xfrm>
        <a:prstGeom prst="rect">
          <a:avLst/>
        </a:prstGeom>
      </xdr:spPr>
    </xdr:pic>
    <xdr:clientData/>
  </xdr:twoCellAnchor>
  <xdr:twoCellAnchor editAs="oneCell">
    <xdr:from>
      <xdr:col>2</xdr:col>
      <xdr:colOff>411507</xdr:colOff>
      <xdr:row>50</xdr:row>
      <xdr:rowOff>70950</xdr:rowOff>
    </xdr:from>
    <xdr:to>
      <xdr:col>8</xdr:col>
      <xdr:colOff>663308</xdr:colOff>
      <xdr:row>62</xdr:row>
      <xdr:rowOff>153180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6E6008-835A-7520-9FAD-3C7289FF0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61675" y="11422905"/>
          <a:ext cx="6743700" cy="2806700"/>
        </a:xfrm>
        <a:prstGeom prst="rect">
          <a:avLst/>
        </a:prstGeom>
      </xdr:spPr>
    </xdr:pic>
    <xdr:clientData/>
  </xdr:twoCellAnchor>
  <xdr:twoCellAnchor editAs="oneCell">
    <xdr:from>
      <xdr:col>7</xdr:col>
      <xdr:colOff>407883</xdr:colOff>
      <xdr:row>24</xdr:row>
      <xdr:rowOff>205737</xdr:rowOff>
    </xdr:from>
    <xdr:to>
      <xdr:col>9</xdr:col>
      <xdr:colOff>79908</xdr:colOff>
      <xdr:row>28</xdr:row>
      <xdr:rowOff>148505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919F71-1AF6-769F-8D5E-F360C5A52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81314" y="5767781"/>
          <a:ext cx="1859762" cy="869775"/>
        </a:xfrm>
        <a:prstGeom prst="rect">
          <a:avLst/>
        </a:prstGeom>
      </xdr:spPr>
    </xdr:pic>
    <xdr:clientData/>
  </xdr:twoCellAnchor>
  <xdr:twoCellAnchor editAs="oneCell">
    <xdr:from>
      <xdr:col>9</xdr:col>
      <xdr:colOff>333722</xdr:colOff>
      <xdr:row>24</xdr:row>
      <xdr:rowOff>147015</xdr:rowOff>
    </xdr:from>
    <xdr:to>
      <xdr:col>11</xdr:col>
      <xdr:colOff>615903</xdr:colOff>
      <xdr:row>29</xdr:row>
      <xdr:rowOff>87362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42AF94-81B1-BB5E-4ACE-896C76169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94890" y="5709059"/>
          <a:ext cx="2516268" cy="1099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482B-74E5-454B-BFAF-711E7AEA67CB}">
  <dimension ref="A1:P59"/>
  <sheetViews>
    <sheetView tabSelected="1" topLeftCell="A51" zoomScale="150" zoomScaleNormal="100" workbookViewId="0">
      <selection activeCell="B51" sqref="B51"/>
    </sheetView>
  </sheetViews>
  <sheetFormatPr baseColWidth="10" defaultColWidth="8.83203125" defaultRowHeight="18" customHeight="1" x14ac:dyDescent="0.2"/>
  <cols>
    <col min="1" max="3" width="20.6640625" style="1" customWidth="1"/>
    <col min="6" max="6" width="21.1640625" bestFit="1" customWidth="1"/>
    <col min="7" max="7" width="16.83203125" customWidth="1"/>
    <col min="9" max="9" width="19.83203125" bestFit="1" customWidth="1"/>
    <col min="10" max="10" width="11.33203125" bestFit="1" customWidth="1"/>
    <col min="11" max="11" width="18" bestFit="1" customWidth="1"/>
  </cols>
  <sheetData>
    <row r="1" spans="1:16" ht="18" customHeight="1" x14ac:dyDescent="0.2">
      <c r="A1" s="2" t="s">
        <v>0</v>
      </c>
      <c r="B1" s="2" t="s">
        <v>23</v>
      </c>
      <c r="C1" s="2" t="s">
        <v>24</v>
      </c>
      <c r="D1" s="8" t="s">
        <v>11</v>
      </c>
      <c r="E1" s="8" t="s">
        <v>12</v>
      </c>
      <c r="F1" s="8" t="s">
        <v>13</v>
      </c>
      <c r="G1" s="8" t="s">
        <v>14</v>
      </c>
      <c r="I1" s="7" t="s">
        <v>18</v>
      </c>
      <c r="J1" s="2" t="s">
        <v>25</v>
      </c>
      <c r="K1" s="8" t="s">
        <v>37</v>
      </c>
    </row>
    <row r="2" spans="1:16" ht="18" customHeight="1" x14ac:dyDescent="0.2">
      <c r="A2" s="3">
        <v>1</v>
      </c>
      <c r="B2" s="4">
        <v>0.99</v>
      </c>
      <c r="C2" s="4">
        <v>90.01</v>
      </c>
      <c r="D2" s="10">
        <f>B2-B$23</f>
        <v>-0.20600000000000018</v>
      </c>
      <c r="E2" s="10">
        <f>C2-C$23</f>
        <v>-2.1504999999999939</v>
      </c>
      <c r="F2" s="16">
        <f>D2 ^2</f>
        <v>4.2436000000000078E-2</v>
      </c>
      <c r="G2" s="11">
        <f>D2*E2</f>
        <v>0.44300299999999915</v>
      </c>
      <c r="I2" s="13">
        <f>74.28 + 14.95*B2</f>
        <v>89.080500000000001</v>
      </c>
      <c r="J2" s="10">
        <f>C2-I2</f>
        <v>0.92950000000000443</v>
      </c>
      <c r="K2" s="9">
        <f>J2^2</f>
        <v>0.86397025000000827</v>
      </c>
    </row>
    <row r="3" spans="1:16" ht="18" customHeight="1" x14ac:dyDescent="0.2">
      <c r="A3" s="3">
        <v>2</v>
      </c>
      <c r="B3" s="4">
        <v>1.02</v>
      </c>
      <c r="C3" s="4">
        <v>89.05</v>
      </c>
      <c r="D3" s="10">
        <f t="shared" ref="D3:D21" si="0">B3-B$23</f>
        <v>-0.17600000000000016</v>
      </c>
      <c r="E3" s="10">
        <f t="shared" ref="E3:E21" si="1">C3-C$23</f>
        <v>-3.1105000000000018</v>
      </c>
      <c r="F3" s="16">
        <f t="shared" ref="F3:F20" si="2">D3 ^2</f>
        <v>3.0976000000000056E-2</v>
      </c>
      <c r="G3" s="11">
        <f t="shared" ref="G3:G21" si="3">D3*E3</f>
        <v>0.54744800000000082</v>
      </c>
      <c r="I3" s="13">
        <f t="shared" ref="I3:I21" si="4">74.28 + 14.95*B3</f>
        <v>89.528999999999996</v>
      </c>
      <c r="J3" s="10">
        <f t="shared" ref="J3:J21" si="5">C3-I3</f>
        <v>-0.4789999999999992</v>
      </c>
      <c r="K3" s="9">
        <f t="shared" ref="K3:K21" si="6">J3^2</f>
        <v>0.22944099999999923</v>
      </c>
    </row>
    <row r="4" spans="1:16" ht="18" customHeight="1" x14ac:dyDescent="0.2">
      <c r="A4" s="3">
        <v>3</v>
      </c>
      <c r="B4" s="4">
        <v>1.1499999999999999</v>
      </c>
      <c r="C4" s="4">
        <v>91.43</v>
      </c>
      <c r="D4" s="10">
        <f t="shared" si="0"/>
        <v>-4.6000000000000263E-2</v>
      </c>
      <c r="E4" s="10">
        <f t="shared" si="1"/>
        <v>-0.73049999999999216</v>
      </c>
      <c r="F4" s="16">
        <f t="shared" si="2"/>
        <v>2.1160000000000241E-3</v>
      </c>
      <c r="G4" s="11">
        <f t="shared" si="3"/>
        <v>3.3602999999999834E-2</v>
      </c>
      <c r="I4" s="13">
        <f t="shared" si="4"/>
        <v>91.472499999999997</v>
      </c>
      <c r="J4" s="10">
        <f t="shared" si="5"/>
        <v>-4.2499999999989768E-2</v>
      </c>
      <c r="K4" s="9">
        <f t="shared" si="6"/>
        <v>1.8062499999991304E-3</v>
      </c>
    </row>
    <row r="5" spans="1:16" ht="18" customHeight="1" x14ac:dyDescent="0.2">
      <c r="A5" s="3">
        <v>4</v>
      </c>
      <c r="B5" s="4">
        <v>1.29</v>
      </c>
      <c r="C5" s="4">
        <v>93.74</v>
      </c>
      <c r="D5" s="10">
        <f t="shared" si="0"/>
        <v>9.3999999999999861E-2</v>
      </c>
      <c r="E5" s="10">
        <f t="shared" si="1"/>
        <v>1.5794999999999959</v>
      </c>
      <c r="F5" s="16">
        <f t="shared" si="2"/>
        <v>8.8359999999999741E-3</v>
      </c>
      <c r="G5" s="11">
        <f t="shared" si="3"/>
        <v>0.14847299999999938</v>
      </c>
      <c r="I5" s="13">
        <f t="shared" si="4"/>
        <v>93.5655</v>
      </c>
      <c r="J5" s="10">
        <f t="shared" si="5"/>
        <v>0.17449999999999477</v>
      </c>
      <c r="K5" s="9">
        <f t="shared" si="6"/>
        <v>3.0450249999998173E-2</v>
      </c>
    </row>
    <row r="6" spans="1:16" ht="18" customHeight="1" x14ac:dyDescent="0.2">
      <c r="A6" s="3">
        <v>5</v>
      </c>
      <c r="B6" s="4">
        <v>1.46</v>
      </c>
      <c r="C6" s="4">
        <v>96.73</v>
      </c>
      <c r="D6" s="10">
        <f t="shared" si="0"/>
        <v>0.26399999999999979</v>
      </c>
      <c r="E6" s="10">
        <f t="shared" si="1"/>
        <v>4.569500000000005</v>
      </c>
      <c r="F6" s="16">
        <f t="shared" si="2"/>
        <v>6.9695999999999883E-2</v>
      </c>
      <c r="G6" s="11">
        <f t="shared" si="3"/>
        <v>1.2063480000000004</v>
      </c>
      <c r="I6" s="13">
        <f t="shared" si="4"/>
        <v>96.106999999999999</v>
      </c>
      <c r="J6" s="10">
        <f t="shared" si="5"/>
        <v>0.62300000000000466</v>
      </c>
      <c r="K6" s="9">
        <f t="shared" si="6"/>
        <v>0.38812900000000583</v>
      </c>
    </row>
    <row r="7" spans="1:16" ht="18" customHeight="1" x14ac:dyDescent="0.2">
      <c r="A7" s="3">
        <v>6</v>
      </c>
      <c r="B7" s="4">
        <v>1.36</v>
      </c>
      <c r="C7" s="4">
        <v>94.45</v>
      </c>
      <c r="D7" s="10">
        <f t="shared" si="0"/>
        <v>0.16399999999999992</v>
      </c>
      <c r="E7" s="10">
        <f t="shared" si="1"/>
        <v>2.2895000000000039</v>
      </c>
      <c r="F7" s="16">
        <f t="shared" si="2"/>
        <v>2.6895999999999975E-2</v>
      </c>
      <c r="G7" s="11">
        <f t="shared" si="3"/>
        <v>0.37547800000000048</v>
      </c>
      <c r="I7" s="13">
        <f t="shared" si="4"/>
        <v>94.611999999999995</v>
      </c>
      <c r="J7" s="10">
        <f t="shared" si="5"/>
        <v>-0.16199999999999193</v>
      </c>
      <c r="K7" s="9">
        <f t="shared" si="6"/>
        <v>2.6243999999997384E-2</v>
      </c>
      <c r="P7" t="s">
        <v>8</v>
      </c>
    </row>
    <row r="8" spans="1:16" ht="18" customHeight="1" x14ac:dyDescent="0.2">
      <c r="A8" s="3">
        <v>7</v>
      </c>
      <c r="B8" s="4">
        <v>0.87</v>
      </c>
      <c r="C8" s="4">
        <v>87.59</v>
      </c>
      <c r="D8" s="10">
        <f t="shared" si="0"/>
        <v>-0.32600000000000018</v>
      </c>
      <c r="E8" s="10">
        <f t="shared" si="1"/>
        <v>-4.5704999999999956</v>
      </c>
      <c r="F8" s="16">
        <f t="shared" si="2"/>
        <v>0.10627600000000012</v>
      </c>
      <c r="G8" s="11">
        <f t="shared" si="3"/>
        <v>1.4899829999999994</v>
      </c>
      <c r="I8" s="13">
        <f t="shared" si="4"/>
        <v>87.286500000000004</v>
      </c>
      <c r="J8" s="10">
        <f t="shared" si="5"/>
        <v>0.30349999999999966</v>
      </c>
      <c r="K8" s="9">
        <f t="shared" si="6"/>
        <v>9.2112249999999798E-2</v>
      </c>
    </row>
    <row r="9" spans="1:16" ht="18" customHeight="1" x14ac:dyDescent="0.2">
      <c r="A9" s="3">
        <v>8</v>
      </c>
      <c r="B9" s="4">
        <v>1.23</v>
      </c>
      <c r="C9" s="4">
        <v>91.77</v>
      </c>
      <c r="D9" s="10">
        <f t="shared" si="0"/>
        <v>3.3999999999999808E-2</v>
      </c>
      <c r="E9" s="10">
        <f t="shared" si="1"/>
        <v>-0.39050000000000296</v>
      </c>
      <c r="F9" s="16">
        <f t="shared" si="2"/>
        <v>1.1559999999999869E-3</v>
      </c>
      <c r="G9" s="11">
        <f t="shared" si="3"/>
        <v>-1.3277000000000025E-2</v>
      </c>
      <c r="I9" s="13">
        <f t="shared" si="4"/>
        <v>92.668499999999995</v>
      </c>
      <c r="J9" s="10">
        <f t="shared" si="5"/>
        <v>-0.89849999999999852</v>
      </c>
      <c r="K9" s="9">
        <f t="shared" si="6"/>
        <v>0.80730224999999733</v>
      </c>
    </row>
    <row r="10" spans="1:16" ht="18" customHeight="1" x14ac:dyDescent="0.2">
      <c r="A10" s="3">
        <v>9</v>
      </c>
      <c r="B10" s="4">
        <v>1.55</v>
      </c>
      <c r="C10" s="4">
        <v>99.42</v>
      </c>
      <c r="D10" s="10">
        <f t="shared" si="0"/>
        <v>0.35399999999999987</v>
      </c>
      <c r="E10" s="10">
        <f t="shared" si="1"/>
        <v>7.2595000000000027</v>
      </c>
      <c r="F10" s="16">
        <f t="shared" si="2"/>
        <v>0.1253159999999999</v>
      </c>
      <c r="G10" s="11">
        <f t="shared" si="3"/>
        <v>2.5698630000000002</v>
      </c>
      <c r="I10" s="13">
        <f t="shared" si="4"/>
        <v>97.452500000000001</v>
      </c>
      <c r="J10" s="10">
        <f t="shared" si="5"/>
        <v>1.9675000000000011</v>
      </c>
      <c r="K10" s="9">
        <f t="shared" si="6"/>
        <v>3.8710562500000045</v>
      </c>
    </row>
    <row r="11" spans="1:16" ht="18" customHeight="1" x14ac:dyDescent="0.2">
      <c r="A11" s="3">
        <v>10</v>
      </c>
      <c r="B11" s="4">
        <v>1.4</v>
      </c>
      <c r="C11" s="4">
        <v>93.65</v>
      </c>
      <c r="D11" s="10">
        <f t="shared" si="0"/>
        <v>0.20399999999999974</v>
      </c>
      <c r="E11" s="10">
        <f t="shared" si="1"/>
        <v>1.4895000000000067</v>
      </c>
      <c r="F11" s="16">
        <f t="shared" si="2"/>
        <v>4.1615999999999896E-2</v>
      </c>
      <c r="G11" s="11">
        <f t="shared" si="3"/>
        <v>0.30385800000000096</v>
      </c>
      <c r="I11" s="13">
        <f t="shared" si="4"/>
        <v>95.21</v>
      </c>
      <c r="J11" s="10">
        <f t="shared" si="5"/>
        <v>-1.5599999999999881</v>
      </c>
      <c r="K11" s="9">
        <f t="shared" si="6"/>
        <v>2.4335999999999629</v>
      </c>
    </row>
    <row r="12" spans="1:16" ht="18" customHeight="1" x14ac:dyDescent="0.2">
      <c r="A12" s="3">
        <v>11</v>
      </c>
      <c r="B12" s="4">
        <v>1.19</v>
      </c>
      <c r="C12" s="4">
        <v>93.54</v>
      </c>
      <c r="D12" s="10">
        <f t="shared" si="0"/>
        <v>-6.0000000000002274E-3</v>
      </c>
      <c r="E12" s="10">
        <f t="shared" si="1"/>
        <v>1.3795000000000073</v>
      </c>
      <c r="F12" s="16">
        <f t="shared" si="2"/>
        <v>3.6000000000002732E-5</v>
      </c>
      <c r="G12" s="11">
        <f t="shared" si="3"/>
        <v>-8.277000000000357E-3</v>
      </c>
      <c r="I12" s="13">
        <f t="shared" si="4"/>
        <v>92.070499999999996</v>
      </c>
      <c r="J12" s="10">
        <f t="shared" si="5"/>
        <v>1.4695000000000107</v>
      </c>
      <c r="K12" s="9">
        <f t="shared" si="6"/>
        <v>2.1594302500000313</v>
      </c>
    </row>
    <row r="13" spans="1:16" ht="18" customHeight="1" x14ac:dyDescent="0.2">
      <c r="A13" s="3">
        <v>12</v>
      </c>
      <c r="B13" s="4">
        <v>1.1499999999999999</v>
      </c>
      <c r="C13" s="4">
        <v>92.52</v>
      </c>
      <c r="D13" s="10">
        <f t="shared" si="0"/>
        <v>-4.6000000000000263E-2</v>
      </c>
      <c r="E13" s="10">
        <f t="shared" si="1"/>
        <v>0.35949999999999704</v>
      </c>
      <c r="F13" s="16">
        <f t="shared" si="2"/>
        <v>2.1160000000000241E-3</v>
      </c>
      <c r="G13" s="11">
        <f t="shared" si="3"/>
        <v>-1.6536999999999958E-2</v>
      </c>
      <c r="I13" s="13">
        <f t="shared" si="4"/>
        <v>91.472499999999997</v>
      </c>
      <c r="J13" s="10">
        <f t="shared" si="5"/>
        <v>1.0474999999999994</v>
      </c>
      <c r="K13" s="9">
        <f t="shared" si="6"/>
        <v>1.0972562499999987</v>
      </c>
    </row>
    <row r="14" spans="1:16" ht="18" customHeight="1" x14ac:dyDescent="0.2">
      <c r="A14" s="3">
        <v>13</v>
      </c>
      <c r="B14" s="4">
        <v>0.98</v>
      </c>
      <c r="C14" s="4">
        <v>90.56</v>
      </c>
      <c r="D14" s="10">
        <f t="shared" si="0"/>
        <v>-0.21600000000000019</v>
      </c>
      <c r="E14" s="10">
        <f t="shared" si="1"/>
        <v>-1.6004999999999967</v>
      </c>
      <c r="F14" s="16">
        <f t="shared" si="2"/>
        <v>4.6656000000000086E-2</v>
      </c>
      <c r="G14" s="11">
        <f t="shared" si="3"/>
        <v>0.34570799999999957</v>
      </c>
      <c r="I14" s="13">
        <f t="shared" si="4"/>
        <v>88.930999999999997</v>
      </c>
      <c r="J14" s="10">
        <f t="shared" si="5"/>
        <v>1.6290000000000049</v>
      </c>
      <c r="K14" s="9">
        <f t="shared" si="6"/>
        <v>2.6536410000000159</v>
      </c>
    </row>
    <row r="15" spans="1:16" ht="18" customHeight="1" x14ac:dyDescent="0.2">
      <c r="A15" s="3">
        <v>14</v>
      </c>
      <c r="B15" s="4">
        <v>1.01</v>
      </c>
      <c r="C15" s="4">
        <v>89.54</v>
      </c>
      <c r="D15" s="10">
        <f t="shared" si="0"/>
        <v>-0.18600000000000017</v>
      </c>
      <c r="E15" s="10">
        <f t="shared" si="1"/>
        <v>-2.6204999999999927</v>
      </c>
      <c r="F15" s="16">
        <f t="shared" si="2"/>
        <v>3.4596000000000064E-2</v>
      </c>
      <c r="G15" s="11">
        <f t="shared" si="3"/>
        <v>0.4874129999999991</v>
      </c>
      <c r="I15" s="13">
        <f t="shared" si="4"/>
        <v>89.379500000000007</v>
      </c>
      <c r="J15" s="10">
        <f t="shared" si="5"/>
        <v>0.16049999999999898</v>
      </c>
      <c r="K15" s="9">
        <f t="shared" si="6"/>
        <v>2.5760249999999672E-2</v>
      </c>
      <c r="O15" t="s">
        <v>7</v>
      </c>
    </row>
    <row r="16" spans="1:16" ht="18" customHeight="1" x14ac:dyDescent="0.2">
      <c r="A16" s="3">
        <v>15</v>
      </c>
      <c r="B16" s="4">
        <v>1.1100000000000001</v>
      </c>
      <c r="C16" s="4">
        <v>89.85</v>
      </c>
      <c r="D16" s="10">
        <f t="shared" si="0"/>
        <v>-8.6000000000000076E-2</v>
      </c>
      <c r="E16" s="10">
        <f t="shared" si="1"/>
        <v>-2.3105000000000047</v>
      </c>
      <c r="F16" s="16">
        <f t="shared" si="2"/>
        <v>7.3960000000000128E-3</v>
      </c>
      <c r="G16" s="11">
        <f t="shared" si="3"/>
        <v>0.19870300000000057</v>
      </c>
      <c r="I16" s="13">
        <f t="shared" si="4"/>
        <v>90.874499999999998</v>
      </c>
      <c r="J16" s="10">
        <f t="shared" si="5"/>
        <v>-1.0245000000000033</v>
      </c>
      <c r="K16" s="9">
        <f t="shared" si="6"/>
        <v>1.0496002500000068</v>
      </c>
      <c r="M16" t="s">
        <v>9</v>
      </c>
    </row>
    <row r="17" spans="1:14" ht="18" customHeight="1" x14ac:dyDescent="0.2">
      <c r="A17" s="3">
        <v>16</v>
      </c>
      <c r="B17" s="4">
        <v>1.2</v>
      </c>
      <c r="C17" s="4">
        <v>90.39</v>
      </c>
      <c r="D17" s="10">
        <f t="shared" si="0"/>
        <v>3.9999999999997815E-3</v>
      </c>
      <c r="E17" s="10">
        <f t="shared" si="1"/>
        <v>-1.7704999999999984</v>
      </c>
      <c r="F17" s="16">
        <f t="shared" si="2"/>
        <v>1.5999999999998251E-5</v>
      </c>
      <c r="G17" s="11">
        <f t="shared" si="3"/>
        <v>-7.0819999999996068E-3</v>
      </c>
      <c r="I17" s="13">
        <f t="shared" si="4"/>
        <v>92.22</v>
      </c>
      <c r="J17" s="10">
        <f t="shared" si="5"/>
        <v>-1.8299999999999983</v>
      </c>
      <c r="K17" s="9">
        <f t="shared" si="6"/>
        <v>3.3488999999999938</v>
      </c>
    </row>
    <row r="18" spans="1:14" ht="18" customHeight="1" x14ac:dyDescent="0.2">
      <c r="A18" s="3">
        <v>17</v>
      </c>
      <c r="B18" s="4">
        <v>1.26</v>
      </c>
      <c r="C18" s="4">
        <v>93.25</v>
      </c>
      <c r="D18" s="10">
        <f t="shared" si="0"/>
        <v>6.3999999999999835E-2</v>
      </c>
      <c r="E18" s="10">
        <f t="shared" si="1"/>
        <v>1.089500000000001</v>
      </c>
      <c r="F18" s="16">
        <f t="shared" si="2"/>
        <v>4.095999999999979E-3</v>
      </c>
      <c r="G18" s="11">
        <f t="shared" si="3"/>
        <v>6.9727999999999887E-2</v>
      </c>
      <c r="I18" s="13">
        <f t="shared" si="4"/>
        <v>93.117000000000004</v>
      </c>
      <c r="J18" s="10">
        <f t="shared" si="5"/>
        <v>0.13299999999999557</v>
      </c>
      <c r="K18" s="9">
        <f t="shared" si="6"/>
        <v>1.768899999999882E-2</v>
      </c>
    </row>
    <row r="19" spans="1:14" ht="18" customHeight="1" x14ac:dyDescent="0.2">
      <c r="A19" s="3">
        <v>18</v>
      </c>
      <c r="B19" s="4">
        <v>1.32</v>
      </c>
      <c r="C19" s="4">
        <v>93.41</v>
      </c>
      <c r="D19" s="10">
        <f t="shared" si="0"/>
        <v>0.12399999999999989</v>
      </c>
      <c r="E19" s="10">
        <f t="shared" si="1"/>
        <v>1.2494999999999976</v>
      </c>
      <c r="F19" s="16">
        <f t="shared" si="2"/>
        <v>1.5375999999999973E-2</v>
      </c>
      <c r="G19" s="11">
        <f t="shared" si="3"/>
        <v>0.15493799999999958</v>
      </c>
      <c r="I19" s="13">
        <f t="shared" si="4"/>
        <v>94.01400000000001</v>
      </c>
      <c r="J19" s="10">
        <f t="shared" si="5"/>
        <v>-0.60400000000001342</v>
      </c>
      <c r="K19" s="9">
        <f t="shared" si="6"/>
        <v>0.36481600000001618</v>
      </c>
    </row>
    <row r="20" spans="1:14" ht="18" customHeight="1" x14ac:dyDescent="0.2">
      <c r="A20" s="3">
        <v>19</v>
      </c>
      <c r="B20" s="4">
        <v>1.43</v>
      </c>
      <c r="C20" s="4">
        <v>94.98</v>
      </c>
      <c r="D20" s="10">
        <f t="shared" si="0"/>
        <v>0.23399999999999976</v>
      </c>
      <c r="E20" s="10">
        <f t="shared" si="1"/>
        <v>2.819500000000005</v>
      </c>
      <c r="F20" s="16">
        <f t="shared" si="2"/>
        <v>5.4755999999999888E-2</v>
      </c>
      <c r="G20" s="11">
        <f t="shared" si="3"/>
        <v>0.65976300000000054</v>
      </c>
      <c r="I20" s="13">
        <f t="shared" si="4"/>
        <v>95.658500000000004</v>
      </c>
      <c r="J20" s="10">
        <f t="shared" si="5"/>
        <v>-0.67849999999999966</v>
      </c>
      <c r="K20" s="9">
        <f t="shared" si="6"/>
        <v>0.46036224999999953</v>
      </c>
    </row>
    <row r="21" spans="1:14" ht="18" customHeight="1" x14ac:dyDescent="0.2">
      <c r="A21" s="3">
        <v>20</v>
      </c>
      <c r="B21" s="4">
        <v>0.95</v>
      </c>
      <c r="C21" s="4">
        <v>87.33</v>
      </c>
      <c r="D21" s="10">
        <f t="shared" si="0"/>
        <v>-0.24600000000000022</v>
      </c>
      <c r="E21" s="10">
        <f t="shared" si="1"/>
        <v>-4.8305000000000007</v>
      </c>
      <c r="F21" s="16">
        <f>D21 ^2</f>
        <v>6.0516000000000104E-2</v>
      </c>
      <c r="G21" s="11">
        <f t="shared" si="3"/>
        <v>1.1883030000000012</v>
      </c>
      <c r="I21" s="13">
        <f t="shared" si="4"/>
        <v>88.482500000000002</v>
      </c>
      <c r="J21" s="10">
        <f t="shared" si="5"/>
        <v>-1.1525000000000034</v>
      </c>
      <c r="K21" s="9">
        <f t="shared" si="6"/>
        <v>1.3282562500000079</v>
      </c>
    </row>
    <row r="22" spans="1:14" ht="18" customHeight="1" x14ac:dyDescent="0.2">
      <c r="B22" s="12" t="s">
        <v>15</v>
      </c>
      <c r="C22" s="12" t="s">
        <v>10</v>
      </c>
    </row>
    <row r="23" spans="1:14" ht="18" customHeight="1" x14ac:dyDescent="0.2">
      <c r="B23" s="14">
        <f>AVERAGE(B2:B21)</f>
        <v>1.1960000000000002</v>
      </c>
      <c r="C23" s="14">
        <f>AVERAGE(C2:C21)</f>
        <v>92.160499999999999</v>
      </c>
      <c r="F23" s="13" t="s">
        <v>20</v>
      </c>
      <c r="G23" s="13" t="s">
        <v>21</v>
      </c>
      <c r="J23" s="13" t="s">
        <v>26</v>
      </c>
      <c r="K23" s="13" t="s">
        <v>38</v>
      </c>
      <c r="M23" s="13" t="s">
        <v>39</v>
      </c>
      <c r="N23" s="19">
        <f>K24/(COUNT(A2:A21)-2)</f>
        <v>1.1805457222222246</v>
      </c>
    </row>
    <row r="24" spans="1:14" ht="18" customHeight="1" x14ac:dyDescent="0.2">
      <c r="F24" s="17">
        <f>SUM(F2:F22)</f>
        <v>0.68087999999999993</v>
      </c>
      <c r="G24" s="11">
        <f>SUM(G2:G22)</f>
        <v>10.177439999999999</v>
      </c>
      <c r="J24" s="11">
        <f>AVERAGE(J2:J21)</f>
        <v>3.0000000000143248E-4</v>
      </c>
      <c r="K24" s="11">
        <f>SUM(K2:K21)</f>
        <v>21.249823000000042</v>
      </c>
    </row>
    <row r="26" spans="1:14" ht="18" customHeight="1" x14ac:dyDescent="0.2">
      <c r="A26" s="1" t="s">
        <v>28</v>
      </c>
    </row>
    <row r="27" spans="1:14" ht="18" customHeight="1" x14ac:dyDescent="0.2">
      <c r="F27" s="13" t="s">
        <v>16</v>
      </c>
      <c r="G27" s="13">
        <f>G24/F24</f>
        <v>14.947479732111384</v>
      </c>
    </row>
    <row r="28" spans="1:14" ht="18" customHeight="1" x14ac:dyDescent="0.2">
      <c r="F28" s="13" t="s">
        <v>19</v>
      </c>
      <c r="G28" s="13">
        <f>C23-G27*B23</f>
        <v>74.283314240394787</v>
      </c>
    </row>
    <row r="30" spans="1:14" ht="18" customHeight="1" x14ac:dyDescent="0.2">
      <c r="F30" s="13" t="s">
        <v>17</v>
      </c>
    </row>
    <row r="31" spans="1:14" ht="18" customHeight="1" x14ac:dyDescent="0.2">
      <c r="F31" s="15" t="s">
        <v>18</v>
      </c>
      <c r="G31" t="s">
        <v>22</v>
      </c>
    </row>
    <row r="37" spans="2:3" ht="18" customHeight="1" x14ac:dyDescent="0.2">
      <c r="B37" s="12" t="s">
        <v>27</v>
      </c>
      <c r="C37" s="18">
        <f>74.28+14.95*1</f>
        <v>89.23</v>
      </c>
    </row>
    <row r="40" spans="2:3" ht="18" customHeight="1" x14ac:dyDescent="0.2">
      <c r="B40" s="1" t="s">
        <v>29</v>
      </c>
    </row>
    <row r="50" spans="1:2" ht="18" customHeight="1" x14ac:dyDescent="0.2">
      <c r="A50" s="5" t="s">
        <v>1</v>
      </c>
    </row>
    <row r="51" spans="1:2" ht="18" customHeight="1" x14ac:dyDescent="0.2">
      <c r="A51" s="12" t="s">
        <v>30</v>
      </c>
      <c r="B51" s="18">
        <f>B55-B58*SQRT(B59*(1+1/B57+(B54-B23)^2/F24))</f>
        <v>86.828892699558509</v>
      </c>
    </row>
    <row r="52" spans="1:2" ht="18" customHeight="1" x14ac:dyDescent="0.2">
      <c r="A52" s="12" t="s">
        <v>31</v>
      </c>
      <c r="B52" s="18">
        <f>B55+B58*SQRT(B59*(1+1/B57+(B54-B23)^2/F24))</f>
        <v>91.631107300441499</v>
      </c>
    </row>
    <row r="54" spans="1:2" ht="18" customHeight="1" x14ac:dyDescent="0.2">
      <c r="A54" s="1" t="s">
        <v>32</v>
      </c>
      <c r="B54" s="1">
        <v>1</v>
      </c>
    </row>
    <row r="55" spans="1:2" ht="18" customHeight="1" x14ac:dyDescent="0.2">
      <c r="A55" s="1" t="s">
        <v>33</v>
      </c>
      <c r="B55" s="1">
        <f>C37</f>
        <v>89.23</v>
      </c>
    </row>
    <row r="56" spans="1:2" ht="18" customHeight="1" x14ac:dyDescent="0.2">
      <c r="A56" s="1" t="s">
        <v>34</v>
      </c>
      <c r="B56" s="1">
        <v>0.05</v>
      </c>
    </row>
    <row r="57" spans="1:2" ht="18" customHeight="1" x14ac:dyDescent="0.2">
      <c r="A57" s="1" t="s">
        <v>35</v>
      </c>
      <c r="B57" s="1">
        <f>COUNT(A2:A21)</f>
        <v>20</v>
      </c>
    </row>
    <row r="58" spans="1:2" ht="18" customHeight="1" x14ac:dyDescent="0.2">
      <c r="A58" s="1" t="s">
        <v>40</v>
      </c>
      <c r="B58" s="1">
        <f>_xlfn.T.INV(1-B56/2, B57-2)</f>
        <v>2.1009220402410378</v>
      </c>
    </row>
    <row r="59" spans="1:2" ht="18" customHeight="1" x14ac:dyDescent="0.2">
      <c r="A59" s="1" t="s">
        <v>36</v>
      </c>
      <c r="B59" s="1">
        <f>N23</f>
        <v>1.1805457222222246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267C-F4BC-4234-89D0-A1B722677F09}">
  <dimension ref="A1:V18"/>
  <sheetViews>
    <sheetView topLeftCell="B1" zoomScale="119" workbookViewId="0">
      <selection activeCell="B17" sqref="B17"/>
    </sheetView>
  </sheetViews>
  <sheetFormatPr baseColWidth="10" defaultColWidth="8.83203125" defaultRowHeight="18" customHeight="1" x14ac:dyDescent="0.2"/>
  <sheetData>
    <row r="1" spans="1:22" ht="18" customHeight="1" x14ac:dyDescent="0.2">
      <c r="A1" s="7" t="s">
        <v>2</v>
      </c>
      <c r="B1" s="6">
        <v>1</v>
      </c>
      <c r="C1" s="6">
        <v>2</v>
      </c>
      <c r="D1" s="6">
        <v>3</v>
      </c>
      <c r="E1" s="6">
        <v>4</v>
      </c>
      <c r="F1" s="6">
        <v>5</v>
      </c>
    </row>
    <row r="2" spans="1:22" ht="18" customHeight="1" x14ac:dyDescent="0.2">
      <c r="A2" s="7" t="s">
        <v>3</v>
      </c>
      <c r="B2" s="6">
        <v>96</v>
      </c>
      <c r="C2" s="6">
        <v>84</v>
      </c>
      <c r="D2" s="6">
        <v>70</v>
      </c>
      <c r="E2" s="6">
        <v>58</v>
      </c>
      <c r="F2" s="6">
        <v>52</v>
      </c>
      <c r="I2" t="s">
        <v>41</v>
      </c>
      <c r="J2" t="s">
        <v>42</v>
      </c>
      <c r="K2" t="s">
        <v>46</v>
      </c>
      <c r="L2" t="s">
        <v>47</v>
      </c>
      <c r="M2" t="s">
        <v>13</v>
      </c>
      <c r="N2" t="s">
        <v>52</v>
      </c>
      <c r="Q2" s="20" t="s">
        <v>42</v>
      </c>
      <c r="R2" s="20" t="s">
        <v>41</v>
      </c>
      <c r="S2" s="20" t="s">
        <v>46</v>
      </c>
      <c r="T2" s="20" t="s">
        <v>47</v>
      </c>
      <c r="U2" s="20" t="s">
        <v>13</v>
      </c>
      <c r="V2" s="20" t="s">
        <v>52</v>
      </c>
    </row>
    <row r="3" spans="1:22" ht="18" customHeight="1" x14ac:dyDescent="0.2">
      <c r="I3">
        <v>1</v>
      </c>
      <c r="J3">
        <v>96</v>
      </c>
      <c r="K3">
        <f>I3-$I$9</f>
        <v>-2</v>
      </c>
      <c r="L3">
        <f>J3-$J$9</f>
        <v>24</v>
      </c>
      <c r="M3">
        <f>K3^2</f>
        <v>4</v>
      </c>
      <c r="N3">
        <f>K3*L3</f>
        <v>-48</v>
      </c>
      <c r="Q3" s="20">
        <v>96</v>
      </c>
      <c r="R3" s="20">
        <v>1</v>
      </c>
      <c r="S3" s="20">
        <v>24</v>
      </c>
      <c r="T3" s="20">
        <v>-2</v>
      </c>
      <c r="U3">
        <f>S3^2</f>
        <v>576</v>
      </c>
      <c r="V3" s="20">
        <v>-48</v>
      </c>
    </row>
    <row r="4" spans="1:22" ht="18" customHeight="1" x14ac:dyDescent="0.2">
      <c r="I4">
        <v>2</v>
      </c>
      <c r="J4">
        <v>84</v>
      </c>
      <c r="K4">
        <f t="shared" ref="K4:K8" si="0">I4-$I$9</f>
        <v>-1</v>
      </c>
      <c r="L4">
        <f t="shared" ref="L4:L8" si="1">J4-$J$9</f>
        <v>12</v>
      </c>
      <c r="M4">
        <f t="shared" ref="M4:M8" si="2">K4^2</f>
        <v>1</v>
      </c>
      <c r="N4">
        <f t="shared" ref="N4:N7" si="3">K4*L4</f>
        <v>-12</v>
      </c>
      <c r="Q4" s="20">
        <v>84</v>
      </c>
      <c r="R4" s="20">
        <v>2</v>
      </c>
      <c r="S4" s="20">
        <v>12</v>
      </c>
      <c r="T4" s="20">
        <v>-1</v>
      </c>
      <c r="U4">
        <f t="shared" ref="U4:U7" si="4">S4^2</f>
        <v>144</v>
      </c>
      <c r="V4" s="20">
        <v>-12</v>
      </c>
    </row>
    <row r="5" spans="1:22" ht="18" customHeight="1" x14ac:dyDescent="0.2">
      <c r="I5">
        <v>3</v>
      </c>
      <c r="J5">
        <v>70</v>
      </c>
      <c r="K5">
        <f t="shared" si="0"/>
        <v>0</v>
      </c>
      <c r="L5">
        <f t="shared" si="1"/>
        <v>-2</v>
      </c>
      <c r="M5">
        <f t="shared" si="2"/>
        <v>0</v>
      </c>
      <c r="N5">
        <f t="shared" si="3"/>
        <v>0</v>
      </c>
      <c r="Q5" s="20">
        <v>70</v>
      </c>
      <c r="R5" s="20">
        <v>3</v>
      </c>
      <c r="S5" s="20">
        <v>-2</v>
      </c>
      <c r="T5" s="20">
        <v>0</v>
      </c>
      <c r="U5">
        <f t="shared" si="4"/>
        <v>4</v>
      </c>
      <c r="V5" s="20">
        <v>0</v>
      </c>
    </row>
    <row r="6" spans="1:22" ht="18" customHeight="1" x14ac:dyDescent="0.2">
      <c r="A6" t="s">
        <v>4</v>
      </c>
      <c r="I6">
        <v>4</v>
      </c>
      <c r="J6">
        <v>58</v>
      </c>
      <c r="K6">
        <f t="shared" si="0"/>
        <v>1</v>
      </c>
      <c r="L6">
        <f t="shared" si="1"/>
        <v>-14</v>
      </c>
      <c r="M6">
        <f t="shared" si="2"/>
        <v>1</v>
      </c>
      <c r="N6">
        <f t="shared" si="3"/>
        <v>-14</v>
      </c>
      <c r="Q6" s="20">
        <v>58</v>
      </c>
      <c r="R6" s="20">
        <v>4</v>
      </c>
      <c r="S6" s="20">
        <v>-14</v>
      </c>
      <c r="T6" s="20">
        <v>1</v>
      </c>
      <c r="U6">
        <f t="shared" si="4"/>
        <v>196</v>
      </c>
      <c r="V6" s="20">
        <v>-14</v>
      </c>
    </row>
    <row r="7" spans="1:22" ht="18" customHeight="1" x14ac:dyDescent="0.2">
      <c r="A7" t="s">
        <v>43</v>
      </c>
      <c r="I7">
        <v>5</v>
      </c>
      <c r="J7">
        <v>52</v>
      </c>
      <c r="K7">
        <f t="shared" si="0"/>
        <v>2</v>
      </c>
      <c r="L7">
        <f t="shared" si="1"/>
        <v>-20</v>
      </c>
      <c r="M7">
        <f t="shared" si="2"/>
        <v>4</v>
      </c>
      <c r="N7">
        <f t="shared" si="3"/>
        <v>-40</v>
      </c>
      <c r="Q7" s="20">
        <v>52</v>
      </c>
      <c r="R7" s="20">
        <v>5</v>
      </c>
      <c r="S7" s="20">
        <v>-20</v>
      </c>
      <c r="T7" s="20">
        <v>2</v>
      </c>
      <c r="U7">
        <f t="shared" si="4"/>
        <v>400</v>
      </c>
      <c r="V7" s="20">
        <v>-40</v>
      </c>
    </row>
    <row r="8" spans="1:22" ht="18" customHeight="1" x14ac:dyDescent="0.2">
      <c r="A8" t="s">
        <v>55</v>
      </c>
      <c r="I8" t="s">
        <v>48</v>
      </c>
      <c r="J8" t="s">
        <v>49</v>
      </c>
      <c r="M8" t="s">
        <v>50</v>
      </c>
      <c r="N8" t="s">
        <v>51</v>
      </c>
      <c r="Q8" t="s">
        <v>48</v>
      </c>
      <c r="R8" t="s">
        <v>49</v>
      </c>
      <c r="U8" t="s">
        <v>50</v>
      </c>
      <c r="V8" t="s">
        <v>51</v>
      </c>
    </row>
    <row r="9" spans="1:22" ht="18" customHeight="1" x14ac:dyDescent="0.2">
      <c r="I9">
        <f>AVERAGE(I3:I7)</f>
        <v>3</v>
      </c>
      <c r="J9">
        <f>AVERAGE(J3:J7)</f>
        <v>72</v>
      </c>
      <c r="M9">
        <f>SUM(M3:M7)</f>
        <v>10</v>
      </c>
      <c r="N9">
        <f>SUM(N3:N7)</f>
        <v>-114</v>
      </c>
      <c r="Q9">
        <f>AVERAGE(Q3:Q7)</f>
        <v>72</v>
      </c>
      <c r="R9">
        <f>AVERAGE(R3:R7)</f>
        <v>3</v>
      </c>
      <c r="U9">
        <f>SUM(U3:U7)</f>
        <v>1320</v>
      </c>
      <c r="V9">
        <f>SUM(V3:V7)</f>
        <v>-114</v>
      </c>
    </row>
    <row r="10" spans="1:22" ht="18" customHeight="1" x14ac:dyDescent="0.2">
      <c r="A10" t="s">
        <v>5</v>
      </c>
      <c r="R10" t="s">
        <v>53</v>
      </c>
      <c r="S10">
        <f>V9/U9</f>
        <v>-8.6363636363636365E-2</v>
      </c>
    </row>
    <row r="11" spans="1:22" ht="18" customHeight="1" x14ac:dyDescent="0.2">
      <c r="A11" t="s">
        <v>44</v>
      </c>
      <c r="K11" t="s">
        <v>53</v>
      </c>
      <c r="L11">
        <f>N9/M9</f>
        <v>-11.4</v>
      </c>
      <c r="N11" t="s">
        <v>55</v>
      </c>
      <c r="R11" t="s">
        <v>54</v>
      </c>
      <c r="S11">
        <f>R9-S10*Q9</f>
        <v>9.2181818181818187</v>
      </c>
      <c r="U11" t="s">
        <v>56</v>
      </c>
    </row>
    <row r="12" spans="1:22" ht="18" customHeight="1" x14ac:dyDescent="0.2">
      <c r="A12" t="s">
        <v>56</v>
      </c>
      <c r="K12" t="s">
        <v>54</v>
      </c>
      <c r="L12">
        <f>J9-L11*I9</f>
        <v>106.2</v>
      </c>
    </row>
    <row r="14" spans="1:22" ht="18" customHeight="1" x14ac:dyDescent="0.2">
      <c r="A14" t="s">
        <v>6</v>
      </c>
    </row>
    <row r="15" spans="1:22" ht="18" customHeight="1" x14ac:dyDescent="0.2">
      <c r="A15" t="s">
        <v>45</v>
      </c>
    </row>
    <row r="16" spans="1:22" ht="18" customHeight="1" x14ac:dyDescent="0.2">
      <c r="A16" t="s">
        <v>57</v>
      </c>
      <c r="B16">
        <f>9.218-0.086*80</f>
        <v>2.338000000000001</v>
      </c>
    </row>
    <row r="17" spans="1:2" ht="18" customHeight="1" x14ac:dyDescent="0.2">
      <c r="A17" t="s">
        <v>58</v>
      </c>
      <c r="B17">
        <f>9.218-0.086*0</f>
        <v>9.218</v>
      </c>
    </row>
    <row r="18" spans="1:2" ht="18" customHeight="1" x14ac:dyDescent="0.2">
      <c r="B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Tanasanee Phienthrakul</dc:creator>
  <cp:lastModifiedBy>NATHAN TANABORIBOON</cp:lastModifiedBy>
  <dcterms:created xsi:type="dcterms:W3CDTF">2026-06-18T01:00:09Z</dcterms:created>
  <dcterms:modified xsi:type="dcterms:W3CDTF">2026-07-12T05:04:12Z</dcterms:modified>
</cp:coreProperties>
</file>