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56B90BDA-9086-254D-B6B4-0402A90F9F24}" xr6:coauthVersionLast="47" xr6:coauthVersionMax="47" xr10:uidLastSave="{00000000-0000-0000-0000-000000000000}"/>
  <bookViews>
    <workbookView xWindow="0" yWindow="600" windowWidth="20480" windowHeight="11000" activeTab="2" xr2:uid="{0900C177-0103-404A-B722-511C268DDC47}"/>
  </bookViews>
  <sheets>
    <sheet name="Sheet1" sheetId="1" r:id="rId1"/>
    <sheet name="Sheet2" sheetId="2" r:id="rId2"/>
    <sheet name="Sheet2 practice" sheetId="8" r:id="rId3"/>
    <sheet name="Sheet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6" i="5"/>
  <c r="G26" i="8"/>
  <c r="F26" i="8"/>
  <c r="E26" i="8"/>
  <c r="G25" i="8"/>
  <c r="F25" i="8"/>
  <c r="E25" i="8"/>
  <c r="G24" i="8"/>
  <c r="F24" i="8"/>
  <c r="E24" i="8"/>
  <c r="G23" i="8"/>
  <c r="F23" i="8"/>
  <c r="E23" i="8"/>
  <c r="G22" i="8"/>
  <c r="F22" i="8"/>
  <c r="E22" i="8"/>
  <c r="G21" i="8"/>
  <c r="F21" i="8"/>
  <c r="E21" i="8"/>
  <c r="G20" i="8"/>
  <c r="F20" i="8"/>
  <c r="E20" i="8"/>
  <c r="G19" i="8"/>
  <c r="F19" i="8"/>
  <c r="E19" i="8"/>
  <c r="G18" i="8"/>
  <c r="F18" i="8"/>
  <c r="E18" i="8"/>
  <c r="G17" i="8"/>
  <c r="F17" i="8"/>
  <c r="E17" i="8"/>
  <c r="G16" i="8"/>
  <c r="F16" i="8"/>
  <c r="E16" i="8"/>
  <c r="G15" i="8"/>
  <c r="F15" i="8"/>
  <c r="E15" i="8"/>
  <c r="G14" i="8"/>
  <c r="F14" i="8"/>
  <c r="E14" i="8"/>
  <c r="G13" i="8"/>
  <c r="F13" i="8"/>
  <c r="E13" i="8"/>
  <c r="G12" i="8"/>
  <c r="F12" i="8"/>
  <c r="E12" i="8"/>
  <c r="G11" i="8"/>
  <c r="F11" i="8"/>
  <c r="E11" i="8"/>
  <c r="G10" i="8"/>
  <c r="F10" i="8"/>
  <c r="E10" i="8"/>
  <c r="G9" i="8"/>
  <c r="F9" i="8"/>
  <c r="E9" i="8"/>
  <c r="G8" i="8"/>
  <c r="F8" i="8"/>
  <c r="E8" i="8"/>
  <c r="G7" i="8"/>
  <c r="F7" i="8"/>
  <c r="E7" i="8"/>
  <c r="G6" i="8"/>
  <c r="F6" i="8"/>
  <c r="E6" i="8"/>
  <c r="G5" i="8"/>
  <c r="F5" i="8"/>
  <c r="E5" i="8"/>
  <c r="G4" i="8"/>
  <c r="F4" i="8"/>
  <c r="E4" i="8"/>
  <c r="G3" i="8"/>
  <c r="F3" i="8"/>
  <c r="E3" i="8"/>
  <c r="G2" i="8"/>
  <c r="F2" i="8"/>
  <c r="E2" i="8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G2" i="2"/>
  <c r="F2" i="2"/>
  <c r="E2" i="2"/>
  <c r="C57" i="1"/>
  <c r="J30" i="1"/>
  <c r="J29" i="1"/>
  <c r="F25" i="1"/>
  <c r="E25" i="1"/>
  <c r="D25" i="1"/>
  <c r="F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F2" i="1"/>
  <c r="E2" i="1"/>
  <c r="D2" i="1"/>
  <c r="C25" i="1"/>
  <c r="B25" i="1"/>
  <c r="C23" i="1"/>
  <c r="B23" i="1"/>
  <c r="H19" i="1" l="1"/>
  <c r="H8" i="1"/>
  <c r="H20" i="1"/>
  <c r="H16" i="1"/>
  <c r="H4" i="1"/>
  <c r="H15" i="1"/>
  <c r="H7" i="1"/>
  <c r="H14" i="1"/>
  <c r="H13" i="1"/>
  <c r="H12" i="1"/>
  <c r="H2" i="1"/>
  <c r="H11" i="1"/>
  <c r="H3" i="1"/>
  <c r="H5" i="1"/>
  <c r="H10" i="1"/>
  <c r="H6" i="1"/>
  <c r="H9" i="1"/>
  <c r="H17" i="1"/>
  <c r="G18" i="1"/>
  <c r="G9" i="1"/>
  <c r="G8" i="1"/>
  <c r="G7" i="1"/>
  <c r="G10" i="1"/>
  <c r="I10" i="1" s="1"/>
  <c r="G6" i="1"/>
  <c r="I6" i="1" s="1"/>
  <c r="G14" i="1"/>
  <c r="G5" i="1"/>
  <c r="G4" i="1"/>
  <c r="G11" i="1"/>
  <c r="G3" i="1"/>
  <c r="G12" i="1"/>
  <c r="G2" i="1"/>
  <c r="G13" i="1"/>
  <c r="G15" i="1"/>
  <c r="G16" i="1"/>
  <c r="G17" i="1"/>
  <c r="G19" i="1"/>
  <c r="H18" i="1"/>
  <c r="G21" i="1"/>
  <c r="G20" i="1"/>
  <c r="H21" i="1"/>
  <c r="J18" i="1" l="1"/>
  <c r="I18" i="1"/>
  <c r="J14" i="1"/>
  <c r="I14" i="1"/>
  <c r="I3" i="1"/>
  <c r="J3" i="1"/>
  <c r="J12" i="1"/>
  <c r="I12" i="1"/>
  <c r="I19" i="1"/>
  <c r="J19" i="1"/>
  <c r="J10" i="1"/>
  <c r="J6" i="1"/>
  <c r="J9" i="1"/>
  <c r="I9" i="1"/>
  <c r="J8" i="1"/>
  <c r="I8" i="1"/>
  <c r="J7" i="1"/>
  <c r="I7" i="1"/>
  <c r="I5" i="1"/>
  <c r="J5" i="1"/>
  <c r="J4" i="1"/>
  <c r="I4" i="1"/>
  <c r="J11" i="1"/>
  <c r="I11" i="1"/>
  <c r="J2" i="1"/>
  <c r="I2" i="1"/>
  <c r="J13" i="1"/>
  <c r="I13" i="1"/>
  <c r="J15" i="1"/>
  <c r="I15" i="1"/>
  <c r="J16" i="1"/>
  <c r="I16" i="1"/>
  <c r="I17" i="1"/>
  <c r="J17" i="1"/>
  <c r="I20" i="1"/>
  <c r="J20" i="1"/>
  <c r="J21" i="1"/>
  <c r="I21" i="1"/>
  <c r="I23" i="1" l="1"/>
  <c r="J23" i="1"/>
  <c r="J25" i="1" s="1"/>
  <c r="J26" i="1" s="1"/>
  <c r="K7" i="1" l="1"/>
  <c r="L7" i="1" s="1"/>
  <c r="M7" i="1" s="1"/>
  <c r="K17" i="1"/>
  <c r="L17" i="1" s="1"/>
  <c r="M17" i="1" s="1"/>
  <c r="K3" i="1"/>
  <c r="L3" i="1" s="1"/>
  <c r="M3" i="1" s="1"/>
  <c r="K8" i="1"/>
  <c r="L8" i="1" s="1"/>
  <c r="M8" i="1" s="1"/>
  <c r="K13" i="1"/>
  <c r="L13" i="1" s="1"/>
  <c r="M13" i="1" s="1"/>
  <c r="K11" i="1"/>
  <c r="L11" i="1" s="1"/>
  <c r="M11" i="1" s="1"/>
  <c r="K4" i="1"/>
  <c r="L4" i="1" s="1"/>
  <c r="M4" i="1" s="1"/>
  <c r="K9" i="1"/>
  <c r="L9" i="1" s="1"/>
  <c r="M9" i="1" s="1"/>
  <c r="K20" i="1"/>
  <c r="L20" i="1" s="1"/>
  <c r="M20" i="1" s="1"/>
  <c r="K12" i="1"/>
  <c r="L12" i="1" s="1"/>
  <c r="M12" i="1" s="1"/>
  <c r="K5" i="1"/>
  <c r="L5" i="1" s="1"/>
  <c r="M5" i="1" s="1"/>
  <c r="K10" i="1"/>
  <c r="L10" i="1" s="1"/>
  <c r="M10" i="1" s="1"/>
  <c r="K18" i="1"/>
  <c r="L18" i="1" s="1"/>
  <c r="M18" i="1" s="1"/>
  <c r="K15" i="1"/>
  <c r="L15" i="1" s="1"/>
  <c r="M15" i="1" s="1"/>
  <c r="K6" i="1"/>
  <c r="L6" i="1" s="1"/>
  <c r="M6" i="1" s="1"/>
  <c r="K19" i="1"/>
  <c r="L19" i="1" s="1"/>
  <c r="M19" i="1" s="1"/>
  <c r="K16" i="1"/>
  <c r="L16" i="1" s="1"/>
  <c r="M16" i="1" s="1"/>
  <c r="K2" i="1"/>
  <c r="L2" i="1" s="1"/>
  <c r="K14" i="1"/>
  <c r="L14" i="1" s="1"/>
  <c r="M14" i="1" s="1"/>
  <c r="K21" i="1"/>
  <c r="L21" i="1" s="1"/>
  <c r="M21" i="1" s="1"/>
  <c r="L23" i="1" l="1"/>
  <c r="M2" i="1"/>
  <c r="M23" i="1" s="1"/>
</calcChain>
</file>

<file path=xl/sharedStrings.xml><?xml version="1.0" encoding="utf-8"?>
<sst xmlns="http://schemas.openxmlformats.org/spreadsheetml/2006/main" count="150" uniqueCount="93">
  <si>
    <t>Observation Number</t>
  </si>
  <si>
    <t>Suppose we use the Oxygen Purity data, find a 95% prediction interval on the next observation of oxygen purity at x = 1.00%.</t>
  </si>
  <si>
    <t>Hydrocarbon Level (X)</t>
  </si>
  <si>
    <t>Purity (Y)</t>
  </si>
  <si>
    <t>(Xi-Xbar)</t>
  </si>
  <si>
    <t>(Yi-Ybar)</t>
  </si>
  <si>
    <t>(Xi-Xbar)^2</t>
  </si>
  <si>
    <t>(Xi-Xbar)*(Yi-Ybar)</t>
  </si>
  <si>
    <t>Y-pred = 74.28 + 14.95X</t>
  </si>
  <si>
    <t>Error</t>
  </si>
  <si>
    <t>Error^2</t>
  </si>
  <si>
    <t>X-bar</t>
  </si>
  <si>
    <t>Y-bar</t>
  </si>
  <si>
    <t>Sxx</t>
  </si>
  <si>
    <t>Sxy</t>
  </si>
  <si>
    <t>B1</t>
  </si>
  <si>
    <t>B0</t>
  </si>
  <si>
    <t>Sse</t>
  </si>
  <si>
    <t>Y-pred = B0 + B1X</t>
  </si>
  <si>
    <t>Correlation Coefficient</t>
  </si>
  <si>
    <t>Pull Strength (y)</t>
  </si>
  <si>
    <t>Wire Length (x1)</t>
  </si>
  <si>
    <t>Die Height (x2)</t>
  </si>
  <si>
    <t>For two variables 𝑋 and 𝑌 we have</t>
  </si>
  <si>
    <t>The regression line of 𝑌 on 𝑋 is 𝑦−𝑥−2=0.</t>
  </si>
  <si>
    <t>The regression line of 𝑋 on 𝑌 is 𝑦−4𝑥+22=0.</t>
  </si>
  <si>
    <t>x-bar</t>
  </si>
  <si>
    <t>y-bar</t>
  </si>
  <si>
    <t>The means of two variables 𝑋 and 𝑌 are 𝒙 ̅=2 and 𝒚 ̅=1, and the correlation coefficient is 0.</t>
  </si>
  <si>
    <t>Predict the value of 𝑌 for 𝑥=10.</t>
  </si>
  <si>
    <t>Predict the value of 𝑋 for 𝑦=5.</t>
  </si>
  <si>
    <t>sum of x</t>
  </si>
  <si>
    <t>sum of y</t>
  </si>
  <si>
    <t>sum of xy</t>
  </si>
  <si>
    <t>sum of x^2</t>
  </si>
  <si>
    <t>xy</t>
  </si>
  <si>
    <t>x^2</t>
  </si>
  <si>
    <t>y^2</t>
  </si>
  <si>
    <t>sum of y^2</t>
  </si>
  <si>
    <t>=(D25-(B25*C25)/COUNT(B2:B21))/(SQRT((E25-(B25)^2/COUNT(B2:B21))*(F25-C25^2/COUNT(B2:B21))))</t>
  </si>
  <si>
    <t>=CORREL(B2:B21, C2:C21)</t>
  </si>
  <si>
    <t>x</t>
  </si>
  <si>
    <t>y</t>
  </si>
  <si>
    <t>corrolation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</si>
  <si>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</si>
  <si>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</si>
  <si>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</si>
  <si>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</si>
  <si>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</si>
  <si>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</si>
  <si>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</si>
  <si>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</si>
  <si>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</si>
  <si>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</si>
  <si>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</si>
  <si>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</si>
  <si>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</si>
  <si>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</si>
  <si>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</si>
  <si>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</si>
  <si>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</si>
  <si>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</si>
  <si>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</si>
  <si>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</si>
  <si>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</si>
  <si>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</si>
  <si>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</si>
  <si>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</si>
  <si>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</si>
  <si>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</si>
  <si>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Pull Strength (y)</t>
  </si>
  <si>
    <t>Residuals</t>
  </si>
  <si>
    <t>Standard Residuals</t>
  </si>
  <si>
    <t>PROBABILITY OUTPUT</t>
  </si>
  <si>
    <t>Percentile</t>
  </si>
  <si>
    <t>x1*x2</t>
  </si>
  <si>
    <t>x1^2</t>
  </si>
  <si>
    <t>x2^2</t>
  </si>
  <si>
    <t>y = 6.47 + 1.66x1 + 0.02x2 + 0.0015x1x2 + 0.0267x1^2 + -0.0000264x2^2</t>
  </si>
  <si>
    <t>alpha = 0.1</t>
  </si>
  <si>
    <t>alpha = 0.05</t>
  </si>
  <si>
    <t>p value &lt; alpha = reject H0</t>
  </si>
  <si>
    <t>y=6.47 + 1.66x1 + 0.0015x1x2</t>
  </si>
  <si>
    <t>y=6.47+1.65x1+0.001x1x2</t>
  </si>
  <si>
    <t>y=x+2</t>
  </si>
  <si>
    <t>b0</t>
  </si>
  <si>
    <t>b1</t>
  </si>
  <si>
    <t>ybar - 2xbar=1</t>
  </si>
  <si>
    <t>x=y/4+22/4</t>
  </si>
  <si>
    <t>xbar-5.5ybar=0.25</t>
  </si>
  <si>
    <t>k-11ybar+2xbar=0.5</t>
  </si>
  <si>
    <t>k-10ybar=1.5</t>
  </si>
  <si>
    <t>kybar=-0.15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</si>
</sst>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" fillId="0" borderId="1" xfId="0" applyFont="1" applyBorder="1" applyAlignment="1">
      <alignment horizontal="right"/>
    </xf>
    <xf numFmtId="0" fontId="1" fillId="5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0" xfId="0" quotePrefix="1"/>
    <xf numFmtId="165" fontId="0" fillId="7" borderId="0" xfId="0" applyNumberForma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0" fontId="0" fillId="8" borderId="0" xfId="0" applyFill="1"/>
    <xf numFmtId="0" fontId="0" fillId="0" borderId="0" xfId="0" applyFill="1" applyBorder="1" applyAlignment="1"/>
    <xf numFmtId="0" fontId="0" fillId="0" borderId="3" xfId="0" applyFill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Continuous"/>
    </xf>
    <xf numFmtId="0" fontId="0" fillId="8" borderId="0" xfId="0" applyFill="1" applyBorder="1" applyAlignme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Purity (Y)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Sheet1!$B$2:$B$21</c:f>
              <c:numCache>
                <c:formatCode>0.00</c:formatCode>
                <c:ptCount val="20"/>
                <c:pt idx="0">
                  <c:v>0.99</c:v>
                </c:pt>
                <c:pt idx="1">
                  <c:v>1.02</c:v>
                </c:pt>
                <c:pt idx="2">
                  <c:v>1.1499999999999999</c:v>
                </c:pt>
                <c:pt idx="3">
                  <c:v>1.29</c:v>
                </c:pt>
                <c:pt idx="4">
                  <c:v>1.46</c:v>
                </c:pt>
                <c:pt idx="5">
                  <c:v>1.36</c:v>
                </c:pt>
                <c:pt idx="6">
                  <c:v>0.87</c:v>
                </c:pt>
                <c:pt idx="7">
                  <c:v>1.23</c:v>
                </c:pt>
                <c:pt idx="8">
                  <c:v>1.55</c:v>
                </c:pt>
                <c:pt idx="9">
                  <c:v>1.4</c:v>
                </c:pt>
                <c:pt idx="10">
                  <c:v>1.19</c:v>
                </c:pt>
                <c:pt idx="11">
                  <c:v>1.1499999999999999</c:v>
                </c:pt>
                <c:pt idx="12">
                  <c:v>0.98</c:v>
                </c:pt>
                <c:pt idx="13">
                  <c:v>1.01</c:v>
                </c:pt>
                <c:pt idx="14">
                  <c:v>1.1100000000000001</c:v>
                </c:pt>
                <c:pt idx="15">
                  <c:v>1.2</c:v>
                </c:pt>
                <c:pt idx="16">
                  <c:v>1.26</c:v>
                </c:pt>
                <c:pt idx="17">
                  <c:v>1.32</c:v>
                </c:pt>
                <c:pt idx="18">
                  <c:v>1.43</c:v>
                </c:pt>
                <c:pt idx="19">
                  <c:v>0.95</c:v>
                </c:pt>
              </c:numCache>
            </c:numRef>
          </c:xVal>
          <c:yVal>
            <c:numRef>
              <c:f>Sheet1!$C$2:$C$21</c:f>
              <c:numCache>
                <c:formatCode>0.00</c:formatCode>
                <c:ptCount val="20"/>
                <c:pt idx="0">
                  <c:v>90.01</c:v>
                </c:pt>
                <c:pt idx="1">
                  <c:v>89.05</c:v>
                </c:pt>
                <c:pt idx="2">
                  <c:v>91.43</c:v>
                </c:pt>
                <c:pt idx="3">
                  <c:v>93.74</c:v>
                </c:pt>
                <c:pt idx="4">
                  <c:v>96.73</c:v>
                </c:pt>
                <c:pt idx="5">
                  <c:v>94.45</c:v>
                </c:pt>
                <c:pt idx="6">
                  <c:v>87.59</c:v>
                </c:pt>
                <c:pt idx="7">
                  <c:v>91.77</c:v>
                </c:pt>
                <c:pt idx="8">
                  <c:v>99.42</c:v>
                </c:pt>
                <c:pt idx="9">
                  <c:v>93.65</c:v>
                </c:pt>
                <c:pt idx="10">
                  <c:v>93.54</c:v>
                </c:pt>
                <c:pt idx="11">
                  <c:v>92.52</c:v>
                </c:pt>
                <c:pt idx="12">
                  <c:v>90.56</c:v>
                </c:pt>
                <c:pt idx="13">
                  <c:v>89.54</c:v>
                </c:pt>
                <c:pt idx="14">
                  <c:v>89.85</c:v>
                </c:pt>
                <c:pt idx="15">
                  <c:v>90.39</c:v>
                </c:pt>
                <c:pt idx="16">
                  <c:v>93.25</c:v>
                </c:pt>
                <c:pt idx="17">
                  <c:v>93.41</c:v>
                </c:pt>
                <c:pt idx="18">
                  <c:v>94.98</c:v>
                </c:pt>
                <c:pt idx="19">
                  <c:v>87.33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4D-41CC-B279-47FCD9B50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05344"/>
        <c:axId val="2119025632"/>
      </c:scatterChart>
      <c:valAx>
        <c:axId val="212310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Hydrocarbon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025632"/>
        <c:crosses val="autoZero"/>
        <c:crossBetween val="midCat"/>
      </c:valAx>
      <c:valAx>
        <c:axId val="211902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0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Sheet1!$B$46:$B$55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Sheet1!$C$46:$C$55</c:f>
              <c:numCache>
                <c:formatCode>General</c:formatCode>
                <c:ptCount val="10"/>
                <c:pt idx="0">
                  <c:v>500</c:v>
                </c:pt>
                <c:pt idx="1">
                  <c:v>495</c:v>
                </c:pt>
                <c:pt idx="2">
                  <c:v>425</c:v>
                </c:pt>
                <c:pt idx="3">
                  <c:v>705</c:v>
                </c:pt>
                <c:pt idx="4">
                  <c:v>400</c:v>
                </c:pt>
                <c:pt idx="5">
                  <c:v>398</c:v>
                </c:pt>
                <c:pt idx="6">
                  <c:v>378</c:v>
                </c:pt>
                <c:pt idx="7">
                  <c:v>359</c:v>
                </c:pt>
                <c:pt idx="8">
                  <c:v>324</c:v>
                </c:pt>
                <c:pt idx="9">
                  <c:v>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7-3640-ADCA-8667A88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962240"/>
        <c:axId val="2095964032"/>
      </c:scatterChart>
      <c:valAx>
        <c:axId val="2095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2095964032"/>
        <c:crosses val="autoZero"/>
        <c:crossBetween val="midCat"/>
      </c:valAx>
      <c:valAx>
        <c:axId val="2095964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209596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Wire Length (x1)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Sheet2!$K$30:$K$54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EF-2A4F-9663-E7FE6E316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22879"/>
        <c:axId val="119124223"/>
      </c:scatterChart>
      <c:valAx>
        <c:axId val="11912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Wire Length (x1)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124223"/>
        <c:crosses val="autoZero"/>
        <c:crossBetween val="midCat"/>
      </c:valAx>
      <c:valAx>
        <c:axId val="119124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1228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Die Height (x2)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Sheet2!$K$30:$K$54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C2-D948-BB2E-0ACF3CBE9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970688"/>
        <c:axId val="1905824576"/>
      </c:scatterChart>
      <c:valAx>
        <c:axId val="192897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Die Height (x2)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824576"/>
        <c:crosses val="autoZero"/>
        <c:crossBetween val="midCat"/>
      </c:valAx>
      <c:valAx>
        <c:axId val="1905824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9706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x1*x2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Sheet2!$K$30:$K$54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3F-4741-9B68-A0F64B613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829952"/>
        <c:axId val="2096004416"/>
      </c:scatterChart>
      <c:valAx>
        <c:axId val="190582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x1*x2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6004416"/>
        <c:crosses val="autoZero"/>
        <c:crossBetween val="midCat"/>
      </c:valAx>
      <c:valAx>
        <c:axId val="2096004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8299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x1^2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Sheet2!$K$30:$K$54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46-634C-97A5-03DF36D9F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144128"/>
        <c:axId val="2090140096"/>
      </c:scatterChart>
      <c:valAx>
        <c:axId val="209014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40096"/>
        <c:crosses val="autoZero"/>
        <c:crossBetween val="midCat"/>
      </c:valAx>
      <c:valAx>
        <c:axId val="2090140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441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x2^2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Sheet2!$K$30:$K$54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FD-8A48-BE08-D5150154E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668992"/>
        <c:axId val="2089669440"/>
      </c:scatterChart>
      <c:valAx>
        <c:axId val="208966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9669440"/>
        <c:crosses val="autoZero"/>
        <c:crossBetween val="midCat"/>
      </c:valAx>
      <c:valAx>
        <c:axId val="2089669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96689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Wire Length (x1)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Sheet2!$C$2:$C$26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Sheet2!$B$2:$B$26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E0-FF40-BE07-595CB123A530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Sheet2!$C$2:$C$26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Sheet2!$J$30:$J$54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E0-FF40-BE07-595CB123A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069952"/>
        <c:axId val="1985775360"/>
      </c:scatterChart>
      <c:valAx>
        <c:axId val="19850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Wire Length (x1)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5775360"/>
        <c:crosses val="autoZero"/>
        <c:crossBetween val="midCat"/>
      </c:valAx>
      <c:valAx>
        <c:axId val="1985775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5069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Die Height (x2)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Sheet2!$D$2:$D$26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Sheet2!$B$2:$B$26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CB-784E-9775-FF2D7B5E172E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Sheet2!$D$2:$D$26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Sheet2!$J$30:$J$54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CB-784E-9775-FF2D7B5E1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8383"/>
        <c:axId val="1985069952"/>
      </c:scatterChart>
      <c:valAx>
        <c:axId val="120128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Die Height (x2)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5069952"/>
        <c:crosses val="autoZero"/>
        <c:crossBetween val="midCat"/>
      </c:valAx>
      <c:valAx>
        <c:axId val="1985069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28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x1*x2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Sheet2!$E$2:$E$26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Sheet2!$B$2:$B$26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B8-7E49-BEB5-1783AE3D172B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Sheet2!$E$2:$E$26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Sheet2!$J$30:$J$54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8-7E49-BEB5-1783AE3D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0959"/>
        <c:axId val="120136447"/>
      </c:scatterChart>
      <c:valAx>
        <c:axId val="12012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x1*x2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36447"/>
        <c:crosses val="autoZero"/>
        <c:crossBetween val="midCat"/>
      </c:valAx>
      <c:valAx>
        <c:axId val="120136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209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x1^2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Sheet2!$F$2:$F$26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Sheet2!$B$2:$B$26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9F-8D41-9DB1-1FA1C4CA27E4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Sheet2!$F$2:$F$26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Sheet2!$J$30:$J$54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9F-8D41-9DB1-1FA1C4CA2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90623"/>
        <c:axId val="127485247"/>
      </c:scatterChart>
      <c:valAx>
        <c:axId val="12749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85247"/>
        <c:crosses val="autoZero"/>
        <c:crossBetween val="midCat"/>
      </c:valAx>
      <c:valAx>
        <c:axId val="127485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906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x2^2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Sheet2!$G$2:$G$26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Sheet2!$B$2:$B$26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B-4A4C-A8D3-BF9AE127B597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Sheet2!$G$2:$G$26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Sheet2!$J$30:$J$54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4B-4A4C-A8D3-BF9AE127B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08575"/>
        <c:axId val="116007679"/>
      </c:scatterChart>
      <c:valAx>
        <c:axId val="116008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007679"/>
        <c:crosses val="autoZero"/>
        <c:crossBetween val="midCat"/>
      </c:valAx>
      <c:valAx>
        <c:axId val="116007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0085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Sheet2!$N$30:$N$54</c:f>
              <c:numCache>
                <c:formatCode>General</c:formatCode>
                <c:ptCount val="2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42</c:v>
                </c:pt>
                <c:pt idx="11">
                  <c:v>46</c:v>
                </c:pt>
                <c:pt idx="12">
                  <c:v>50</c:v>
                </c:pt>
                <c:pt idx="13">
                  <c:v>54</c:v>
                </c:pt>
                <c:pt idx="14">
                  <c:v>58</c:v>
                </c:pt>
                <c:pt idx="15">
                  <c:v>62</c:v>
                </c:pt>
                <c:pt idx="16">
                  <c:v>66</c:v>
                </c:pt>
                <c:pt idx="17">
                  <c:v>70</c:v>
                </c:pt>
                <c:pt idx="18">
                  <c:v>74</c:v>
                </c:pt>
                <c:pt idx="19">
                  <c:v>78</c:v>
                </c:pt>
                <c:pt idx="20">
                  <c:v>82</c:v>
                </c:pt>
                <c:pt idx="21">
                  <c:v>86</c:v>
                </c:pt>
                <c:pt idx="22">
                  <c:v>90</c:v>
                </c:pt>
                <c:pt idx="23">
                  <c:v>94</c:v>
                </c:pt>
                <c:pt idx="24">
                  <c:v>98</c:v>
                </c:pt>
              </c:numCache>
            </c:numRef>
          </c:xVal>
          <c:yVal>
            <c:numRef>
              <c:f>Sheet2!$O$30:$O$54</c:f>
              <c:numCache>
                <c:formatCode>General</c:formatCode>
                <c:ptCount val="25"/>
                <c:pt idx="0">
                  <c:v>9.6</c:v>
                </c:pt>
                <c:pt idx="1">
                  <c:v>9.9499999999999993</c:v>
                </c:pt>
                <c:pt idx="2">
                  <c:v>10.3</c:v>
                </c:pt>
                <c:pt idx="3">
                  <c:v>11.66</c:v>
                </c:pt>
                <c:pt idx="4">
                  <c:v>14.38</c:v>
                </c:pt>
                <c:pt idx="5">
                  <c:v>16.86</c:v>
                </c:pt>
                <c:pt idx="6">
                  <c:v>17.079999999999998</c:v>
                </c:pt>
                <c:pt idx="7">
                  <c:v>17.89</c:v>
                </c:pt>
                <c:pt idx="8">
                  <c:v>21.15</c:v>
                </c:pt>
                <c:pt idx="9">
                  <c:v>21.65</c:v>
                </c:pt>
                <c:pt idx="10">
                  <c:v>22.13</c:v>
                </c:pt>
                <c:pt idx="11">
                  <c:v>24.35</c:v>
                </c:pt>
                <c:pt idx="12">
                  <c:v>24.45</c:v>
                </c:pt>
                <c:pt idx="13">
                  <c:v>25.02</c:v>
                </c:pt>
                <c:pt idx="14">
                  <c:v>27.5</c:v>
                </c:pt>
                <c:pt idx="15">
                  <c:v>31.75</c:v>
                </c:pt>
                <c:pt idx="16">
                  <c:v>34.93</c:v>
                </c:pt>
                <c:pt idx="17">
                  <c:v>35</c:v>
                </c:pt>
                <c:pt idx="18">
                  <c:v>37</c:v>
                </c:pt>
                <c:pt idx="19">
                  <c:v>41.95</c:v>
                </c:pt>
                <c:pt idx="20">
                  <c:v>44.88</c:v>
                </c:pt>
                <c:pt idx="21">
                  <c:v>46.59</c:v>
                </c:pt>
                <c:pt idx="22">
                  <c:v>54.12</c:v>
                </c:pt>
                <c:pt idx="23">
                  <c:v>56.63</c:v>
                </c:pt>
                <c:pt idx="24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6-2947-BF7A-DB6F37520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129536"/>
        <c:axId val="2090123712"/>
      </c:scatterChart>
      <c:valAx>
        <c:axId val="209012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23712"/>
        <c:crosses val="autoZero"/>
        <c:crossBetween val="midCat"/>
      </c:valAx>
      <c:valAx>
        <c:axId val="2090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2953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Wire Length (x1)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F-B644-89F6-84BFA36C6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22879"/>
        <c:axId val="119124223"/>
      </c:scatterChart>
      <c:valAx>
        <c:axId val="119122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Wire Length (x1)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124223"/>
        <c:crosses val="autoZero"/>
        <c:crossBetween val="midCat"/>
      </c:valAx>
      <c:valAx>
        <c:axId val="1191242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91228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Die Height (x2)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F-624C-8469-24D0E74D77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970688"/>
        <c:axId val="1905824576"/>
      </c:scatterChart>
      <c:valAx>
        <c:axId val="1928970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Die Height (x2)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824576"/>
        <c:crosses val="autoZero"/>
        <c:crossBetween val="midCat"/>
      </c:valAx>
      <c:valAx>
        <c:axId val="1905824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289706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x1*x2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83-1843-B4B5-6387EB77F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829952"/>
        <c:axId val="2096004416"/>
      </c:scatterChart>
      <c:valAx>
        <c:axId val="190582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x1*x2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6004416"/>
        <c:crosses val="autoZero"/>
        <c:crossBetween val="midCat"/>
      </c:valAx>
      <c:valAx>
        <c:axId val="20960044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8299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x1^2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CF-C44E-BA11-A1693CAE5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144128"/>
        <c:axId val="2090140096"/>
      </c:scatterChart>
      <c:valAx>
        <c:axId val="2090144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40096"/>
        <c:crosses val="autoZero"/>
        <c:crossBetween val="midCat"/>
      </c:valAx>
      <c:valAx>
        <c:axId val="20901400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4412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x2^2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67-204C-AB68-C4547B57E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9668992"/>
        <c:axId val="2089669440"/>
      </c:scatterChart>
      <c:valAx>
        <c:axId val="2089668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9669440"/>
        <c:crosses val="autoZero"/>
        <c:crossBetween val="midCat"/>
      </c:valAx>
      <c:valAx>
        <c:axId val="2089669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896689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Wire Length (x1)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D3-7147-9BF3-112430DDF369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D3-7147-9BF3-112430DDF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069952"/>
        <c:axId val="1985775360"/>
      </c:scatterChart>
      <c:valAx>
        <c:axId val="198506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Wire Length (x1)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5775360"/>
        <c:crosses val="autoZero"/>
        <c:crossBetween val="midCat"/>
      </c:valAx>
      <c:valAx>
        <c:axId val="19857753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50699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Die Height (x2)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27-2546-A98E-DF79A1860294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27-2546-A98E-DF79A1860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8383"/>
        <c:axId val="1985069952"/>
      </c:scatterChart>
      <c:valAx>
        <c:axId val="120128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Die Height (x2)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85069952"/>
        <c:crosses val="autoZero"/>
        <c:crossBetween val="midCat"/>
      </c:valAx>
      <c:valAx>
        <c:axId val="19850699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283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x1*x2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E9-554A-A9CC-43F041443BE1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E9-554A-A9CC-43F041443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0959"/>
        <c:axId val="120136447"/>
      </c:scatterChart>
      <c:valAx>
        <c:axId val="120120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x1*x2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36447"/>
        <c:crosses val="autoZero"/>
        <c:crossBetween val="midCat"/>
      </c:valAx>
      <c:valAx>
        <c:axId val="1201364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01209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x1^2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9D-BE49-B397-FA8F2D954D46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9D-BE49-B397-FA8F2D954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90623"/>
        <c:axId val="127485247"/>
      </c:scatterChart>
      <c:valAx>
        <c:axId val="127490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85247"/>
        <c:crosses val="autoZero"/>
        <c:crossBetween val="midCat"/>
      </c:valAx>
      <c:valAx>
        <c:axId val="127485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749062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x2^2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7-544C-99EE-F538B93BDB52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7-544C-99EE-F538B93BD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08575"/>
        <c:axId val="116007679"/>
      </c:scatterChart>
      <c:valAx>
        <c:axId val="116008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007679"/>
        <c:crosses val="autoZero"/>
        <c:crossBetween val="midCat"/>
      </c:valAx>
      <c:valAx>
        <c:axId val="1160076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60085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practice'!$N$30:$N$54</c:f>
              <c:numCache>
                <c:formatCode>General</c:formatCode>
                <c:ptCount val="2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42</c:v>
                </c:pt>
                <c:pt idx="11">
                  <c:v>46</c:v>
                </c:pt>
                <c:pt idx="12">
                  <c:v>50</c:v>
                </c:pt>
                <c:pt idx="13">
                  <c:v>54</c:v>
                </c:pt>
                <c:pt idx="14">
                  <c:v>58</c:v>
                </c:pt>
                <c:pt idx="15">
                  <c:v>62</c:v>
                </c:pt>
                <c:pt idx="16">
                  <c:v>66</c:v>
                </c:pt>
                <c:pt idx="17">
                  <c:v>70</c:v>
                </c:pt>
                <c:pt idx="18">
                  <c:v>74</c:v>
                </c:pt>
                <c:pt idx="19">
                  <c:v>78</c:v>
                </c:pt>
                <c:pt idx="20">
                  <c:v>82</c:v>
                </c:pt>
                <c:pt idx="21">
                  <c:v>86</c:v>
                </c:pt>
                <c:pt idx="22">
                  <c:v>90</c:v>
                </c:pt>
                <c:pt idx="23">
                  <c:v>94</c:v>
                </c:pt>
                <c:pt idx="24">
                  <c:v>98</c:v>
                </c:pt>
              </c:numCache>
            </c:numRef>
          </c:xVal>
          <c:yVal>
            <c:numRef>
              <c:f>'Sheet2 practice'!$O$30:$O$54</c:f>
              <c:numCache>
                <c:formatCode>General</c:formatCode>
                <c:ptCount val="25"/>
                <c:pt idx="0">
                  <c:v>9.6</c:v>
                </c:pt>
                <c:pt idx="1">
                  <c:v>9.9499999999999993</c:v>
                </c:pt>
                <c:pt idx="2">
                  <c:v>10.3</c:v>
                </c:pt>
                <c:pt idx="3">
                  <c:v>11.66</c:v>
                </c:pt>
                <c:pt idx="4">
                  <c:v>14.38</c:v>
                </c:pt>
                <c:pt idx="5">
                  <c:v>16.86</c:v>
                </c:pt>
                <c:pt idx="6">
                  <c:v>17.079999999999998</c:v>
                </c:pt>
                <c:pt idx="7">
                  <c:v>17.89</c:v>
                </c:pt>
                <c:pt idx="8">
                  <c:v>21.15</c:v>
                </c:pt>
                <c:pt idx="9">
                  <c:v>21.65</c:v>
                </c:pt>
                <c:pt idx="10">
                  <c:v>22.13</c:v>
                </c:pt>
                <c:pt idx="11">
                  <c:v>24.35</c:v>
                </c:pt>
                <c:pt idx="12">
                  <c:v>24.45</c:v>
                </c:pt>
                <c:pt idx="13">
                  <c:v>25.02</c:v>
                </c:pt>
                <c:pt idx="14">
                  <c:v>27.5</c:v>
                </c:pt>
                <c:pt idx="15">
                  <c:v>31.75</c:v>
                </c:pt>
                <c:pt idx="16">
                  <c:v>34.93</c:v>
                </c:pt>
                <c:pt idx="17">
                  <c:v>35</c:v>
                </c:pt>
                <c:pt idx="18">
                  <c:v>37</c:v>
                </c:pt>
                <c:pt idx="19">
                  <c:v>41.95</c:v>
                </c:pt>
                <c:pt idx="20">
                  <c:v>44.88</c:v>
                </c:pt>
                <c:pt idx="21">
                  <c:v>46.59</c:v>
                </c:pt>
                <c:pt idx="22">
                  <c:v>54.12</c:v>
                </c:pt>
                <c:pt idx="23">
                  <c:v>56.63</c:v>
                </c:pt>
                <c:pt idx="24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05-6945-9AAE-2E45DF91D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129536"/>
        <c:axId val="2090123712"/>
      </c:scatterChart>
      <c:valAx>
        <c:axId val="209012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23712"/>
        <c:crosses val="autoZero"/>
        <c:crossBetween val="midCat"/>
      </c:valAx>
      <c:valAx>
        <c:axId val="2090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9012953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Wire Length (x1)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A2-034E-94EE-6398BC89E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054079"/>
        <c:axId val="874557247"/>
      </c:scatterChart>
      <c:valAx>
        <c:axId val="768054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Wire Length (x1)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4557247"/>
        <c:crosses val="autoZero"/>
        <c:crossBetween val="midCat"/>
      </c:valAx>
      <c:valAx>
        <c:axId val="87455724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054079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Die Height (x2)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26-9E4C-856A-3FEED1E48F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052287"/>
        <c:axId val="999080383"/>
      </c:scatterChart>
      <c:valAx>
        <c:axId val="7680522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Die Height (x2)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9080383"/>
        <c:crosses val="autoZero"/>
        <c:crossBetween val="midCat"/>
      </c:valAx>
      <c:valAx>
        <c:axId val="9990803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05228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x1*x2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C6-9042-A049-09CC32E52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732607"/>
        <c:axId val="768054079"/>
      </c:scatterChart>
      <c:valAx>
        <c:axId val="9237326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x1*x2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054079"/>
        <c:crosses val="autoZero"/>
        <c:crossBetween val="midCat"/>
      </c:valAx>
      <c:valAx>
        <c:axId val="768054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3732607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x1^2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A6-E24E-9ED4-91F52F938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029183"/>
        <c:axId val="775034111"/>
      </c:scatterChart>
      <c:valAx>
        <c:axId val="775029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5034111"/>
        <c:crosses val="autoZero"/>
        <c:crossBetween val="midCat"/>
      </c:valAx>
      <c:valAx>
        <c:axId val="77503411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5029183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x2^2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'Sheet2 practice'!$K$30:$K$54</c:f>
              <c:numCache>
                <c:formatCode>General</c:formatCode>
                <c:ptCount val="25"/>
                <c:pt idx="0">
                  <c:v>-0.85268048169488964</c:v>
                </c:pt>
                <c:pt idx="1">
                  <c:v>0.21245465550175879</c:v>
                </c:pt>
                <c:pt idx="2">
                  <c:v>0.2697139126817838</c:v>
                </c:pt>
                <c:pt idx="3">
                  <c:v>-8.4200370901896804E-3</c:v>
                </c:pt>
                <c:pt idx="4">
                  <c:v>-2.512184438364546</c:v>
                </c:pt>
                <c:pt idx="5">
                  <c:v>-0.11909763360430148</c:v>
                </c:pt>
                <c:pt idx="6">
                  <c:v>0.85095907497250245</c:v>
                </c:pt>
                <c:pt idx="7">
                  <c:v>-1.2365304602677334</c:v>
                </c:pt>
                <c:pt idx="8">
                  <c:v>-1.9145461242784769</c:v>
                </c:pt>
                <c:pt idx="9">
                  <c:v>-9.6122303133125087E-2</c:v>
                </c:pt>
                <c:pt idx="10">
                  <c:v>-1.258151586894094</c:v>
                </c:pt>
                <c:pt idx="11">
                  <c:v>0.13939884105229083</c:v>
                </c:pt>
                <c:pt idx="12">
                  <c:v>1.1631071972356466</c:v>
                </c:pt>
                <c:pt idx="13">
                  <c:v>-1.8660982972557552</c:v>
                </c:pt>
                <c:pt idx="14">
                  <c:v>4.6114964068116286</c:v>
                </c:pt>
                <c:pt idx="15">
                  <c:v>-0.43465078795615142</c:v>
                </c:pt>
                <c:pt idx="16">
                  <c:v>0.50318108147772023</c:v>
                </c:pt>
                <c:pt idx="17">
                  <c:v>0.58138963325043314</c:v>
                </c:pt>
                <c:pt idx="18">
                  <c:v>-5.1723707908109873E-2</c:v>
                </c:pt>
                <c:pt idx="19">
                  <c:v>1.2230180797823706</c:v>
                </c:pt>
                <c:pt idx="20">
                  <c:v>-1.4715628199151709</c:v>
                </c:pt>
                <c:pt idx="21">
                  <c:v>0.62826344336743745</c:v>
                </c:pt>
                <c:pt idx="22">
                  <c:v>-1.1738947480924224</c:v>
                </c:pt>
                <c:pt idx="23">
                  <c:v>2.4757072948894674</c:v>
                </c:pt>
                <c:pt idx="24">
                  <c:v>0.33697380543196687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F7-2F47-85A3-79361A095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778111"/>
        <c:axId val="768779903"/>
      </c:scatterChart>
      <c:valAx>
        <c:axId val="768778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779903"/>
        <c:crosses val="autoZero"/>
        <c:crossBetween val="midCat"/>
      </c:valAx>
      <c:valAx>
        <c:axId val="7687799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778111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Wire Length (x1)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1B-F74A-91A7-A39161199C7C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practice'!$C$2:$C$26</c:f>
              <c:numCache>
                <c:formatCode>General</c:formatCode>
                <c:ptCount val="25"/>
                <c:pt idx="0">
                  <c:v>2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9</c:v>
                </c:pt>
                <c:pt idx="9">
                  <c:v>8</c:v>
                </c:pt>
                <c:pt idx="10">
                  <c:v>4</c:v>
                </c:pt>
                <c:pt idx="11">
                  <c:v>11</c:v>
                </c:pt>
                <c:pt idx="12">
                  <c:v>12</c:v>
                </c:pt>
                <c:pt idx="13">
                  <c:v>2</c:v>
                </c:pt>
                <c:pt idx="14">
                  <c:v>4</c:v>
                </c:pt>
                <c:pt idx="15">
                  <c:v>4</c:v>
                </c:pt>
                <c:pt idx="16">
                  <c:v>20</c:v>
                </c:pt>
                <c:pt idx="17">
                  <c:v>1</c:v>
                </c:pt>
                <c:pt idx="18">
                  <c:v>10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17</c:v>
                </c:pt>
                <c:pt idx="23">
                  <c:v>6</c:v>
                </c:pt>
                <c:pt idx="24">
                  <c:v>5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1B-F74A-91A7-A39161199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743359"/>
        <c:axId val="924468095"/>
      </c:scatterChart>
      <c:valAx>
        <c:axId val="923743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Wire Length (x1)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4468095"/>
        <c:crosses val="autoZero"/>
        <c:crossBetween val="midCat"/>
      </c:valAx>
      <c:valAx>
        <c:axId val="924468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37433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Die Height (x2)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D3-7B4A-9C8C-D0A90D499223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practice'!$D$2:$D$26</c:f>
              <c:numCache>
                <c:formatCode>General</c:formatCode>
                <c:ptCount val="25"/>
                <c:pt idx="0">
                  <c:v>50</c:v>
                </c:pt>
                <c:pt idx="1">
                  <c:v>110</c:v>
                </c:pt>
                <c:pt idx="2">
                  <c:v>120</c:v>
                </c:pt>
                <c:pt idx="3">
                  <c:v>550</c:v>
                </c:pt>
                <c:pt idx="4">
                  <c:v>295</c:v>
                </c:pt>
                <c:pt idx="5">
                  <c:v>200</c:v>
                </c:pt>
                <c:pt idx="6">
                  <c:v>375</c:v>
                </c:pt>
                <c:pt idx="7">
                  <c:v>52</c:v>
                </c:pt>
                <c:pt idx="8">
                  <c:v>100</c:v>
                </c:pt>
                <c:pt idx="9">
                  <c:v>300</c:v>
                </c:pt>
                <c:pt idx="10">
                  <c:v>412</c:v>
                </c:pt>
                <c:pt idx="11">
                  <c:v>400</c:v>
                </c:pt>
                <c:pt idx="12">
                  <c:v>500</c:v>
                </c:pt>
                <c:pt idx="13">
                  <c:v>360</c:v>
                </c:pt>
                <c:pt idx="14">
                  <c:v>205</c:v>
                </c:pt>
                <c:pt idx="15">
                  <c:v>400</c:v>
                </c:pt>
                <c:pt idx="16">
                  <c:v>600</c:v>
                </c:pt>
                <c:pt idx="17">
                  <c:v>585</c:v>
                </c:pt>
                <c:pt idx="18">
                  <c:v>540</c:v>
                </c:pt>
                <c:pt idx="19">
                  <c:v>250</c:v>
                </c:pt>
                <c:pt idx="20">
                  <c:v>290</c:v>
                </c:pt>
                <c:pt idx="21">
                  <c:v>510</c:v>
                </c:pt>
                <c:pt idx="22">
                  <c:v>590</c:v>
                </c:pt>
                <c:pt idx="23">
                  <c:v>100</c:v>
                </c:pt>
                <c:pt idx="24">
                  <c:v>400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D3-7B4A-9C8C-D0A90D499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481535"/>
        <c:axId val="923743359"/>
      </c:scatterChart>
      <c:valAx>
        <c:axId val="9244815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Die Height (x2)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3743359"/>
        <c:crosses val="autoZero"/>
        <c:crossBetween val="midCat"/>
      </c:valAx>
      <c:valAx>
        <c:axId val="9237433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448153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x1*x2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F4-C445-9163-9E24A6CA8FA2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practice'!$E$2:$E$26</c:f>
              <c:numCache>
                <c:formatCode>General</c:formatCode>
                <c:ptCount val="25"/>
                <c:pt idx="0">
                  <c:v>100</c:v>
                </c:pt>
                <c:pt idx="1">
                  <c:v>880</c:v>
                </c:pt>
                <c:pt idx="2">
                  <c:v>1320</c:v>
                </c:pt>
                <c:pt idx="3">
                  <c:v>5500</c:v>
                </c:pt>
                <c:pt idx="4">
                  <c:v>2360</c:v>
                </c:pt>
                <c:pt idx="5">
                  <c:v>800</c:v>
                </c:pt>
                <c:pt idx="6">
                  <c:v>750</c:v>
                </c:pt>
                <c:pt idx="7">
                  <c:v>104</c:v>
                </c:pt>
                <c:pt idx="8">
                  <c:v>900</c:v>
                </c:pt>
                <c:pt idx="9">
                  <c:v>2400</c:v>
                </c:pt>
                <c:pt idx="10">
                  <c:v>1648</c:v>
                </c:pt>
                <c:pt idx="11">
                  <c:v>4400</c:v>
                </c:pt>
                <c:pt idx="12">
                  <c:v>6000</c:v>
                </c:pt>
                <c:pt idx="13">
                  <c:v>720</c:v>
                </c:pt>
                <c:pt idx="14">
                  <c:v>820</c:v>
                </c:pt>
                <c:pt idx="15">
                  <c:v>1600</c:v>
                </c:pt>
                <c:pt idx="16">
                  <c:v>12000</c:v>
                </c:pt>
                <c:pt idx="17">
                  <c:v>585</c:v>
                </c:pt>
                <c:pt idx="18">
                  <c:v>5400</c:v>
                </c:pt>
                <c:pt idx="19">
                  <c:v>3750</c:v>
                </c:pt>
                <c:pt idx="20">
                  <c:v>4350</c:v>
                </c:pt>
                <c:pt idx="21">
                  <c:v>8160</c:v>
                </c:pt>
                <c:pt idx="22">
                  <c:v>10030</c:v>
                </c:pt>
                <c:pt idx="23">
                  <c:v>600</c:v>
                </c:pt>
                <c:pt idx="24">
                  <c:v>2000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F4-C445-9163-9E24A6CA8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994239"/>
        <c:axId val="768996031"/>
      </c:scatterChart>
      <c:valAx>
        <c:axId val="768994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x1*x2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996031"/>
        <c:crosses val="autoZero"/>
        <c:crossBetween val="midCat"/>
      </c:valAx>
      <c:valAx>
        <c:axId val="7689960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99423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x1^2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FD-B84D-A226-442ABFA050A4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practice'!$F$2:$F$26</c:f>
              <c:numCache>
                <c:formatCode>General</c:formatCode>
                <c:ptCount val="25"/>
                <c:pt idx="0">
                  <c:v>4</c:v>
                </c:pt>
                <c:pt idx="1">
                  <c:v>64</c:v>
                </c:pt>
                <c:pt idx="2">
                  <c:v>121</c:v>
                </c:pt>
                <c:pt idx="3">
                  <c:v>100</c:v>
                </c:pt>
                <c:pt idx="4">
                  <c:v>64</c:v>
                </c:pt>
                <c:pt idx="5">
                  <c:v>16</c:v>
                </c:pt>
                <c:pt idx="6">
                  <c:v>4</c:v>
                </c:pt>
                <c:pt idx="7">
                  <c:v>4</c:v>
                </c:pt>
                <c:pt idx="8">
                  <c:v>81</c:v>
                </c:pt>
                <c:pt idx="9">
                  <c:v>64</c:v>
                </c:pt>
                <c:pt idx="10">
                  <c:v>16</c:v>
                </c:pt>
                <c:pt idx="11">
                  <c:v>121</c:v>
                </c:pt>
                <c:pt idx="12">
                  <c:v>144</c:v>
                </c:pt>
                <c:pt idx="13">
                  <c:v>4</c:v>
                </c:pt>
                <c:pt idx="14">
                  <c:v>16</c:v>
                </c:pt>
                <c:pt idx="15">
                  <c:v>16</c:v>
                </c:pt>
                <c:pt idx="16">
                  <c:v>400</c:v>
                </c:pt>
                <c:pt idx="17">
                  <c:v>1</c:v>
                </c:pt>
                <c:pt idx="18">
                  <c:v>100</c:v>
                </c:pt>
                <c:pt idx="19">
                  <c:v>225</c:v>
                </c:pt>
                <c:pt idx="20">
                  <c:v>225</c:v>
                </c:pt>
                <c:pt idx="21">
                  <c:v>256</c:v>
                </c:pt>
                <c:pt idx="22">
                  <c:v>289</c:v>
                </c:pt>
                <c:pt idx="23">
                  <c:v>36</c:v>
                </c:pt>
                <c:pt idx="24">
                  <c:v>25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FD-B84D-A226-442ABFA05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509375"/>
        <c:axId val="924511167"/>
      </c:scatterChart>
      <c:valAx>
        <c:axId val="924509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x1^2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4511167"/>
        <c:crosses val="autoZero"/>
        <c:crossBetween val="midCat"/>
      </c:valAx>
      <c:valAx>
        <c:axId val="9245111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45093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x2^2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Pull Strength (y)</c:v>
          </c:tx>
          <c:spPr>
            <a:ln w="19050">
              <a:noFill/>
            </a:ln>
          </c:spPr>
          <c:xVal>
            <c:numRef>
              <c:f>'Sheet2 practice'!$G$2:$G$26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'Sheet2 practice'!$B$2:$B$26</c:f>
              <c:numCache>
                <c:formatCode>General</c:formatCode>
                <c:ptCount val="25"/>
                <c:pt idx="0">
                  <c:v>9.9499999999999993</c:v>
                </c:pt>
                <c:pt idx="1">
                  <c:v>24.45</c:v>
                </c:pt>
                <c:pt idx="2">
                  <c:v>31.75</c:v>
                </c:pt>
                <c:pt idx="3">
                  <c:v>35</c:v>
                </c:pt>
                <c:pt idx="4">
                  <c:v>25.02</c:v>
                </c:pt>
                <c:pt idx="5">
                  <c:v>16.86</c:v>
                </c:pt>
                <c:pt idx="6">
                  <c:v>14.38</c:v>
                </c:pt>
                <c:pt idx="7">
                  <c:v>9.6</c:v>
                </c:pt>
                <c:pt idx="8">
                  <c:v>24.35</c:v>
                </c:pt>
                <c:pt idx="9">
                  <c:v>27.5</c:v>
                </c:pt>
                <c:pt idx="10">
                  <c:v>17.079999999999998</c:v>
                </c:pt>
                <c:pt idx="11">
                  <c:v>37</c:v>
                </c:pt>
                <c:pt idx="12">
                  <c:v>41.95</c:v>
                </c:pt>
                <c:pt idx="13">
                  <c:v>11.66</c:v>
                </c:pt>
                <c:pt idx="14">
                  <c:v>21.65</c:v>
                </c:pt>
                <c:pt idx="15">
                  <c:v>17.89</c:v>
                </c:pt>
                <c:pt idx="16">
                  <c:v>69</c:v>
                </c:pt>
                <c:pt idx="17">
                  <c:v>10.3</c:v>
                </c:pt>
                <c:pt idx="18">
                  <c:v>34.93</c:v>
                </c:pt>
                <c:pt idx="19">
                  <c:v>46.59</c:v>
                </c:pt>
                <c:pt idx="20">
                  <c:v>44.88</c:v>
                </c:pt>
                <c:pt idx="21">
                  <c:v>54.12</c:v>
                </c:pt>
                <c:pt idx="22">
                  <c:v>56.63</c:v>
                </c:pt>
                <c:pt idx="23">
                  <c:v>22.13</c:v>
                </c:pt>
                <c:pt idx="24">
                  <c:v>21.15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2-1041-B5CC-60753FE1C882}"/>
            </c:ext>
          </c:extLst>
        </c:ser>
        <c:ser>
          <c:idx val="1"/>
          <c:order val="1"/>
          <c:tx>
            <c:v>Predicted Pull Strength (y)</c:v>
          </c:tx>
          <c:spPr>
            <a:ln w="19050">
              <a:noFill/>
            </a:ln>
          </c:spPr>
          <c:xVal>
            <c:numRef>
              <c:f>'Sheet2 practice'!$G$2:$G$26</c:f>
              <c:numCache>
                <c:formatCode>General</c:formatCode>
                <c:ptCount val="25"/>
                <c:pt idx="0">
                  <c:v>2500</c:v>
                </c:pt>
                <c:pt idx="1">
                  <c:v>12100</c:v>
                </c:pt>
                <c:pt idx="2">
                  <c:v>14400</c:v>
                </c:pt>
                <c:pt idx="3">
                  <c:v>302500</c:v>
                </c:pt>
                <c:pt idx="4">
                  <c:v>87025</c:v>
                </c:pt>
                <c:pt idx="5">
                  <c:v>40000</c:v>
                </c:pt>
                <c:pt idx="6">
                  <c:v>140625</c:v>
                </c:pt>
                <c:pt idx="7">
                  <c:v>2704</c:v>
                </c:pt>
                <c:pt idx="8">
                  <c:v>10000</c:v>
                </c:pt>
                <c:pt idx="9">
                  <c:v>90000</c:v>
                </c:pt>
                <c:pt idx="10">
                  <c:v>169744</c:v>
                </c:pt>
                <c:pt idx="11">
                  <c:v>160000</c:v>
                </c:pt>
                <c:pt idx="12">
                  <c:v>250000</c:v>
                </c:pt>
                <c:pt idx="13">
                  <c:v>129600</c:v>
                </c:pt>
                <c:pt idx="14">
                  <c:v>42025</c:v>
                </c:pt>
                <c:pt idx="15">
                  <c:v>160000</c:v>
                </c:pt>
                <c:pt idx="16">
                  <c:v>360000</c:v>
                </c:pt>
                <c:pt idx="17">
                  <c:v>342225</c:v>
                </c:pt>
                <c:pt idx="18">
                  <c:v>291600</c:v>
                </c:pt>
                <c:pt idx="19">
                  <c:v>62500</c:v>
                </c:pt>
                <c:pt idx="20">
                  <c:v>84100</c:v>
                </c:pt>
                <c:pt idx="21">
                  <c:v>260100</c:v>
                </c:pt>
                <c:pt idx="22">
                  <c:v>348100</c:v>
                </c:pt>
                <c:pt idx="23">
                  <c:v>10000</c:v>
                </c:pt>
                <c:pt idx="24">
                  <c:v>160000</c:v>
                </c:pt>
              </c:numCache>
            </c:numRef>
          </c:xVal>
          <c:yVal>
            <c:numRef>
              <c:f>'Sheet2 practice'!$J$30:$J$54</c:f>
              <c:numCache>
                <c:formatCode>General</c:formatCode>
                <c:ptCount val="25"/>
                <c:pt idx="0">
                  <c:v>10.802680481694889</c:v>
                </c:pt>
                <c:pt idx="1">
                  <c:v>24.23754534449824</c:v>
                </c:pt>
                <c:pt idx="2">
                  <c:v>31.480286087318216</c:v>
                </c:pt>
                <c:pt idx="3">
                  <c:v>35.00842003709019</c:v>
                </c:pt>
                <c:pt idx="4">
                  <c:v>27.532184438364546</c:v>
                </c:pt>
                <c:pt idx="5">
                  <c:v>16.979097633604301</c:v>
                </c:pt>
                <c:pt idx="6">
                  <c:v>13.529040925027498</c:v>
                </c:pt>
                <c:pt idx="7">
                  <c:v>10.836530460267733</c:v>
                </c:pt>
                <c:pt idx="8">
                  <c:v>26.264546124278478</c:v>
                </c:pt>
                <c:pt idx="9">
                  <c:v>27.596122303133125</c:v>
                </c:pt>
                <c:pt idx="10">
                  <c:v>18.338151586894092</c:v>
                </c:pt>
                <c:pt idx="11">
                  <c:v>36.860601158947709</c:v>
                </c:pt>
                <c:pt idx="12">
                  <c:v>40.786892802764356</c:v>
                </c:pt>
                <c:pt idx="13">
                  <c:v>13.526098297255755</c:v>
                </c:pt>
                <c:pt idx="14">
                  <c:v>17.03850359318837</c:v>
                </c:pt>
                <c:pt idx="15">
                  <c:v>18.324650787956152</c:v>
                </c:pt>
                <c:pt idx="16">
                  <c:v>68.49681891852228</c:v>
                </c:pt>
                <c:pt idx="17">
                  <c:v>9.7186103667495676</c:v>
                </c:pt>
                <c:pt idx="18">
                  <c:v>34.98172370790811</c:v>
                </c:pt>
                <c:pt idx="19">
                  <c:v>45.366981920217633</c:v>
                </c:pt>
                <c:pt idx="20">
                  <c:v>46.351562819915173</c:v>
                </c:pt>
                <c:pt idx="21">
                  <c:v>53.49173655663256</c:v>
                </c:pt>
                <c:pt idx="22">
                  <c:v>57.803894748092425</c:v>
                </c:pt>
                <c:pt idx="23">
                  <c:v>19.654292705110532</c:v>
                </c:pt>
                <c:pt idx="24">
                  <c:v>20.813026194568032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2-1041-B5CC-60753FE1C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531007"/>
        <c:axId val="768532799"/>
      </c:scatterChart>
      <c:valAx>
        <c:axId val="7685310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x2^2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532799"/>
        <c:crosses val="autoZero"/>
        <c:crossBetween val="midCat"/>
      </c:valAx>
      <c:valAx>
        <c:axId val="7685327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5310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'Sheet2 practice'!$N$30:$N$54</c:f>
              <c:numCache>
                <c:formatCode>General</c:formatCode>
                <c:ptCount val="25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14</c:v>
                </c:pt>
                <c:pt idx="4">
                  <c:v>18</c:v>
                </c:pt>
                <c:pt idx="5">
                  <c:v>22</c:v>
                </c:pt>
                <c:pt idx="6">
                  <c:v>26</c:v>
                </c:pt>
                <c:pt idx="7">
                  <c:v>30</c:v>
                </c:pt>
                <c:pt idx="8">
                  <c:v>34</c:v>
                </c:pt>
                <c:pt idx="9">
                  <c:v>38</c:v>
                </c:pt>
                <c:pt idx="10">
                  <c:v>42</c:v>
                </c:pt>
                <c:pt idx="11">
                  <c:v>46</c:v>
                </c:pt>
                <c:pt idx="12">
                  <c:v>50</c:v>
                </c:pt>
                <c:pt idx="13">
                  <c:v>54</c:v>
                </c:pt>
                <c:pt idx="14">
                  <c:v>58</c:v>
                </c:pt>
                <c:pt idx="15">
                  <c:v>62</c:v>
                </c:pt>
                <c:pt idx="16">
                  <c:v>66</c:v>
                </c:pt>
                <c:pt idx="17">
                  <c:v>70</c:v>
                </c:pt>
                <c:pt idx="18">
                  <c:v>74</c:v>
                </c:pt>
                <c:pt idx="19">
                  <c:v>78</c:v>
                </c:pt>
                <c:pt idx="20">
                  <c:v>82</c:v>
                </c:pt>
                <c:pt idx="21">
                  <c:v>86</c:v>
                </c:pt>
                <c:pt idx="22">
                  <c:v>90</c:v>
                </c:pt>
                <c:pt idx="23">
                  <c:v>94</c:v>
                </c:pt>
                <c:pt idx="24">
                  <c:v>98</c:v>
                </c:pt>
              </c:numCache>
            </c:numRef>
          </c:xVal>
          <c:yVal>
            <c:numRef>
              <c:f>'Sheet2 practice'!$O$30:$O$54</c:f>
              <c:numCache>
                <c:formatCode>General</c:formatCode>
                <c:ptCount val="25"/>
                <c:pt idx="0">
                  <c:v>9.6</c:v>
                </c:pt>
                <c:pt idx="1">
                  <c:v>9.9499999999999993</c:v>
                </c:pt>
                <c:pt idx="2">
                  <c:v>10.3</c:v>
                </c:pt>
                <c:pt idx="3">
                  <c:v>11.66</c:v>
                </c:pt>
                <c:pt idx="4">
                  <c:v>14.38</c:v>
                </c:pt>
                <c:pt idx="5">
                  <c:v>16.86</c:v>
                </c:pt>
                <c:pt idx="6">
                  <c:v>17.079999999999998</c:v>
                </c:pt>
                <c:pt idx="7">
                  <c:v>17.89</c:v>
                </c:pt>
                <c:pt idx="8">
                  <c:v>21.15</c:v>
                </c:pt>
                <c:pt idx="9">
                  <c:v>21.65</c:v>
                </c:pt>
                <c:pt idx="10">
                  <c:v>22.13</c:v>
                </c:pt>
                <c:pt idx="11">
                  <c:v>24.35</c:v>
                </c:pt>
                <c:pt idx="12">
                  <c:v>24.45</c:v>
                </c:pt>
                <c:pt idx="13">
                  <c:v>25.02</c:v>
                </c:pt>
                <c:pt idx="14">
                  <c:v>27.5</c:v>
                </c:pt>
                <c:pt idx="15">
                  <c:v>31.75</c:v>
                </c:pt>
                <c:pt idx="16">
                  <c:v>34.93</c:v>
                </c:pt>
                <c:pt idx="17">
                  <c:v>35</c:v>
                </c:pt>
                <c:pt idx="18">
                  <c:v>37</c:v>
                </c:pt>
                <c:pt idx="19">
                  <c:v>41.95</c:v>
                </c:pt>
                <c:pt idx="20">
                  <c:v>44.88</c:v>
                </c:pt>
                <c:pt idx="21">
                  <c:v>46.59</c:v>
                </c:pt>
                <c:pt idx="22">
                  <c:v>54.12</c:v>
                </c:pt>
                <c:pt idx="23">
                  <c:v>56.63</c:v>
                </c:pt>
                <c:pt idx="24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F8-4246-9C4B-828C0049F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8990655"/>
        <c:axId val="779895231"/>
      </c:scatterChart>
      <c:valAx>
        <c:axId val="768990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9895231"/>
        <c:crosses val="autoZero"/>
        <c:crossBetween val="midCat"/>
      </c:valAx>
      <c:valAx>
        <c:axId val="7798952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Pull Strength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68990655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13" Type="http://schemas.openxmlformats.org/officeDocument/2006/relationships/chart" Target="../charts/chart26.xml"/><Relationship Id="rId18" Type="http://schemas.openxmlformats.org/officeDocument/2006/relationships/chart" Target="../charts/chart31.xml"/><Relationship Id="rId3" Type="http://schemas.openxmlformats.org/officeDocument/2006/relationships/chart" Target="../charts/chart16.xml"/><Relationship Id="rId21" Type="http://schemas.openxmlformats.org/officeDocument/2006/relationships/chart" Target="../charts/chart34.xml"/><Relationship Id="rId7" Type="http://schemas.openxmlformats.org/officeDocument/2006/relationships/chart" Target="../charts/chart20.xml"/><Relationship Id="rId12" Type="http://schemas.openxmlformats.org/officeDocument/2006/relationships/chart" Target="../charts/chart25.xml"/><Relationship Id="rId17" Type="http://schemas.openxmlformats.org/officeDocument/2006/relationships/chart" Target="../charts/chart30.xml"/><Relationship Id="rId2" Type="http://schemas.openxmlformats.org/officeDocument/2006/relationships/chart" Target="../charts/chart15.xml"/><Relationship Id="rId16" Type="http://schemas.openxmlformats.org/officeDocument/2006/relationships/chart" Target="../charts/chart29.xml"/><Relationship Id="rId20" Type="http://schemas.openxmlformats.org/officeDocument/2006/relationships/chart" Target="../charts/chart33.xml"/><Relationship Id="rId1" Type="http://schemas.openxmlformats.org/officeDocument/2006/relationships/chart" Target="../charts/chart14.xml"/><Relationship Id="rId6" Type="http://schemas.openxmlformats.org/officeDocument/2006/relationships/chart" Target="../charts/chart19.xml"/><Relationship Id="rId11" Type="http://schemas.openxmlformats.org/officeDocument/2006/relationships/chart" Target="../charts/chart24.xml"/><Relationship Id="rId5" Type="http://schemas.openxmlformats.org/officeDocument/2006/relationships/chart" Target="../charts/chart18.xml"/><Relationship Id="rId15" Type="http://schemas.openxmlformats.org/officeDocument/2006/relationships/chart" Target="../charts/chart28.xml"/><Relationship Id="rId10" Type="http://schemas.openxmlformats.org/officeDocument/2006/relationships/chart" Target="../charts/chart23.xml"/><Relationship Id="rId19" Type="http://schemas.openxmlformats.org/officeDocument/2006/relationships/chart" Target="../charts/chart32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14" Type="http://schemas.openxmlformats.org/officeDocument/2006/relationships/chart" Target="../charts/chart27.xml"/><Relationship Id="rId22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244326</xdr:colOff>
      <xdr:row>26</xdr:row>
      <xdr:rowOff>113838</xdr:rowOff>
    </xdr:from>
    <xdr:to>
      <xdr:col>7</xdr:col>
      <xdr:colOff>409426</xdr:colOff>
      <xdr:row>41</xdr:row>
      <xdr:rowOff>121776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B87A0-9821-4AE4-B1D5-D315DDD60F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508000</xdr:colOff>
      <xdr:row>31</xdr:row>
      <xdr:rowOff>50800</xdr:rowOff>
    </xdr:from>
    <xdr:to>
      <xdr:col>11</xdr:col>
      <xdr:colOff>118533</xdr:colOff>
      <xdr:row>40</xdr:row>
      <xdr:rowOff>171597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398104-9F54-5B60-7395-60377478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0" y="7399867"/>
          <a:ext cx="4334933" cy="2254397"/>
        </a:xfrm>
        <a:prstGeom prst="rect">
          <a:avLst/>
        </a:prstGeom>
      </xdr:spPr>
    </xdr:pic>
    <xdr:clientData/>
  </xdr:twoCellAnchor>
  <xdr:twoCellAnchor>
    <xdr:from>
      <xdr:col>3</xdr:col>
      <xdr:colOff>472440</xdr:colOff>
      <xdr:row>42</xdr:row>
      <xdr:rowOff>187960</xdr:rowOff>
    </xdr:from>
    <xdr:to>
      <xdr:col>6</xdr:col>
      <xdr:colOff>320040</xdr:colOff>
      <xdr:row>54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90FCE2-46EA-16F7-7E2F-67E072C94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504201</xdr:colOff>
      <xdr:row>4</xdr:row>
      <xdr:rowOff>158453</xdr:rowOff>
    </xdr:from>
    <xdr:to>
      <xdr:col>24</xdr:col>
      <xdr:colOff>505151</xdr:colOff>
      <xdr:row>14</xdr:row>
      <xdr:rowOff>158453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4B8085D-F846-BF27-F8F1-EF561E9223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211271</xdr:colOff>
      <xdr:row>4</xdr:row>
      <xdr:rowOff>170321</xdr:rowOff>
    </xdr:from>
    <xdr:to>
      <xdr:col>31</xdr:col>
      <xdr:colOff>208423</xdr:colOff>
      <xdr:row>14</xdr:row>
      <xdr:rowOff>170321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DA7223-F092-3030-9486-0243B2835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681407</xdr:colOff>
      <xdr:row>14</xdr:row>
      <xdr:rowOff>205930</xdr:rowOff>
    </xdr:from>
    <xdr:to>
      <xdr:col>24</xdr:col>
      <xdr:colOff>683188</xdr:colOff>
      <xdr:row>24</xdr:row>
      <xdr:rowOff>205930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EB21056-E799-C8F2-1BD2-7B9921F2C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328300</xdr:colOff>
      <xdr:row>15</xdr:row>
      <xdr:rowOff>16024</xdr:rowOff>
    </xdr:from>
    <xdr:to>
      <xdr:col>31</xdr:col>
      <xdr:colOff>327114</xdr:colOff>
      <xdr:row>25</xdr:row>
      <xdr:rowOff>16024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C6C2EF3-63A7-61D6-3F00-0E3A3A1F5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173172</xdr:colOff>
      <xdr:row>25</xdr:row>
      <xdr:rowOff>110976</xdr:rowOff>
    </xdr:from>
    <xdr:to>
      <xdr:col>31</xdr:col>
      <xdr:colOff>172816</xdr:colOff>
      <xdr:row>35</xdr:row>
      <xdr:rowOff>110975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BD5D7EC-D046-3512-6A73-14418D075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101600</xdr:colOff>
      <xdr:row>16</xdr:row>
      <xdr:rowOff>63500</xdr:rowOff>
    </xdr:from>
    <xdr:to>
      <xdr:col>26</xdr:col>
      <xdr:colOff>101600</xdr:colOff>
      <xdr:row>26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4F6961A-EEAA-E754-49D0-FAAED85FB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101600</xdr:colOff>
      <xdr:row>18</xdr:row>
      <xdr:rowOff>63500</xdr:rowOff>
    </xdr:from>
    <xdr:to>
      <xdr:col>27</xdr:col>
      <xdr:colOff>101600</xdr:colOff>
      <xdr:row>28</xdr:row>
      <xdr:rowOff>63500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111F817-86B9-DC58-9DA9-E5D4AB102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101600</xdr:colOff>
      <xdr:row>20</xdr:row>
      <xdr:rowOff>63500</xdr:rowOff>
    </xdr:from>
    <xdr:to>
      <xdr:col>28</xdr:col>
      <xdr:colOff>101600</xdr:colOff>
      <xdr:row>30</xdr:row>
      <xdr:rowOff>63500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AE6D06C-458A-7A72-031D-0313CD8A2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101600</xdr:colOff>
      <xdr:row>22</xdr:row>
      <xdr:rowOff>63500</xdr:rowOff>
    </xdr:from>
    <xdr:to>
      <xdr:col>29</xdr:col>
      <xdr:colOff>101600</xdr:colOff>
      <xdr:row>32</xdr:row>
      <xdr:rowOff>63500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6E7E639-F181-A270-B9F8-F541FB24B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101600</xdr:colOff>
      <xdr:row>24</xdr:row>
      <xdr:rowOff>63500</xdr:rowOff>
    </xdr:from>
    <xdr:to>
      <xdr:col>30</xdr:col>
      <xdr:colOff>101600</xdr:colOff>
      <xdr:row>34</xdr:row>
      <xdr:rowOff>63500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9123501-A18C-79A1-3DD8-5E3B1011B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50800</xdr:colOff>
      <xdr:row>22</xdr:row>
      <xdr:rowOff>63500</xdr:rowOff>
    </xdr:from>
    <xdr:to>
      <xdr:col>24</xdr:col>
      <xdr:colOff>50800</xdr:colOff>
      <xdr:row>32</xdr:row>
      <xdr:rowOff>63500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CD85FED-8BC4-00A6-4212-C507F9C60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504201</xdr:colOff>
      <xdr:row>4</xdr:row>
      <xdr:rowOff>158453</xdr:rowOff>
    </xdr:from>
    <xdr:to>
      <xdr:col>24</xdr:col>
      <xdr:colOff>505151</xdr:colOff>
      <xdr:row>14</xdr:row>
      <xdr:rowOff>158453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8F5CF-B355-BD4E-8832-CE43819718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211271</xdr:colOff>
      <xdr:row>4</xdr:row>
      <xdr:rowOff>170321</xdr:rowOff>
    </xdr:from>
    <xdr:to>
      <xdr:col>31</xdr:col>
      <xdr:colOff>208423</xdr:colOff>
      <xdr:row>14</xdr:row>
      <xdr:rowOff>170321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BB08F2-3429-804E-9A8D-9EACCD838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681407</xdr:colOff>
      <xdr:row>14</xdr:row>
      <xdr:rowOff>205930</xdr:rowOff>
    </xdr:from>
    <xdr:to>
      <xdr:col>24</xdr:col>
      <xdr:colOff>683188</xdr:colOff>
      <xdr:row>24</xdr:row>
      <xdr:rowOff>205930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5CF469-56F2-274A-BFA7-AEA6346C1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328300</xdr:colOff>
      <xdr:row>15</xdr:row>
      <xdr:rowOff>16024</xdr:rowOff>
    </xdr:from>
    <xdr:to>
      <xdr:col>31</xdr:col>
      <xdr:colOff>327114</xdr:colOff>
      <xdr:row>25</xdr:row>
      <xdr:rowOff>16024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BA1A85-69FE-CD41-B050-B4877C0151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173172</xdr:colOff>
      <xdr:row>25</xdr:row>
      <xdr:rowOff>110976</xdr:rowOff>
    </xdr:from>
    <xdr:to>
      <xdr:col>31</xdr:col>
      <xdr:colOff>172816</xdr:colOff>
      <xdr:row>35</xdr:row>
      <xdr:rowOff>110975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A3D2B-2806-2743-BC94-57FFFB673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101600</xdr:colOff>
      <xdr:row>16</xdr:row>
      <xdr:rowOff>63500</xdr:rowOff>
    </xdr:from>
    <xdr:to>
      <xdr:col>26</xdr:col>
      <xdr:colOff>101600</xdr:colOff>
      <xdr:row>26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9F0C99-35FC-F04C-BD7F-604BA421B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101600</xdr:colOff>
      <xdr:row>18</xdr:row>
      <xdr:rowOff>63500</xdr:rowOff>
    </xdr:from>
    <xdr:to>
      <xdr:col>27</xdr:col>
      <xdr:colOff>101600</xdr:colOff>
      <xdr:row>28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A359AAE-CC36-994C-BD01-5C62C0753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101600</xdr:colOff>
      <xdr:row>20</xdr:row>
      <xdr:rowOff>63500</xdr:rowOff>
    </xdr:from>
    <xdr:to>
      <xdr:col>28</xdr:col>
      <xdr:colOff>101600</xdr:colOff>
      <xdr:row>30</xdr:row>
      <xdr:rowOff>63500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373D0A-1D32-2143-BD97-2B71BFC87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23</xdr:col>
      <xdr:colOff>101600</xdr:colOff>
      <xdr:row>22</xdr:row>
      <xdr:rowOff>63500</xdr:rowOff>
    </xdr:from>
    <xdr:to>
      <xdr:col>29</xdr:col>
      <xdr:colOff>101600</xdr:colOff>
      <xdr:row>32</xdr:row>
      <xdr:rowOff>63500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7762CB8-0B7A-5745-8A06-E3D620068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101600</xdr:colOff>
      <xdr:row>24</xdr:row>
      <xdr:rowOff>63500</xdr:rowOff>
    </xdr:from>
    <xdr:to>
      <xdr:col>30</xdr:col>
      <xdr:colOff>101600</xdr:colOff>
      <xdr:row>34</xdr:row>
      <xdr:rowOff>63500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368C246-48C3-5B43-BF6F-8C10ECE20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50800</xdr:colOff>
      <xdr:row>22</xdr:row>
      <xdr:rowOff>63500</xdr:rowOff>
    </xdr:from>
    <xdr:to>
      <xdr:col>24</xdr:col>
      <xdr:colOff>50800</xdr:colOff>
      <xdr:row>32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E10D8C3-9CB6-D54F-BC83-26346B55A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241300</xdr:colOff>
      <xdr:row>16</xdr:row>
      <xdr:rowOff>139700</xdr:rowOff>
    </xdr:from>
    <xdr:to>
      <xdr:col>23</xdr:col>
      <xdr:colOff>241300</xdr:colOff>
      <xdr:row>26</xdr:row>
      <xdr:rowOff>139700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E3E33C-AB13-603D-2F60-7C99BC2B3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241300</xdr:colOff>
      <xdr:row>16</xdr:row>
      <xdr:rowOff>139700</xdr:rowOff>
    </xdr:from>
    <xdr:to>
      <xdr:col>24</xdr:col>
      <xdr:colOff>241300</xdr:colOff>
      <xdr:row>26</xdr:row>
      <xdr:rowOff>139700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CEF3570-3746-ABA9-3512-085ABB0D2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241300</xdr:colOff>
      <xdr:row>16</xdr:row>
      <xdr:rowOff>139700</xdr:rowOff>
    </xdr:from>
    <xdr:to>
      <xdr:col>25</xdr:col>
      <xdr:colOff>241300</xdr:colOff>
      <xdr:row>26</xdr:row>
      <xdr:rowOff>139700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7B9199B-A6D5-39D1-A99E-A3F68780D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20</xdr:col>
      <xdr:colOff>241300</xdr:colOff>
      <xdr:row>16</xdr:row>
      <xdr:rowOff>139700</xdr:rowOff>
    </xdr:from>
    <xdr:to>
      <xdr:col>26</xdr:col>
      <xdr:colOff>241300</xdr:colOff>
      <xdr:row>26</xdr:row>
      <xdr:rowOff>139700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63CA826-B4B5-82C7-88F8-315ECF2FE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241300</xdr:colOff>
      <xdr:row>16</xdr:row>
      <xdr:rowOff>139700</xdr:rowOff>
    </xdr:from>
    <xdr:to>
      <xdr:col>27</xdr:col>
      <xdr:colOff>241300</xdr:colOff>
      <xdr:row>26</xdr:row>
      <xdr:rowOff>139700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67C0C1-2311-01F1-6DB7-08A150EAE3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241300</xdr:colOff>
      <xdr:row>16</xdr:row>
      <xdr:rowOff>139700</xdr:rowOff>
    </xdr:from>
    <xdr:to>
      <xdr:col>28</xdr:col>
      <xdr:colOff>241300</xdr:colOff>
      <xdr:row>26</xdr:row>
      <xdr:rowOff>139700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A57A32C-080D-B906-15DE-78EDAD6EE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23</xdr:col>
      <xdr:colOff>241300</xdr:colOff>
      <xdr:row>0</xdr:row>
      <xdr:rowOff>12700</xdr:rowOff>
    </xdr:from>
    <xdr:to>
      <xdr:col>29</xdr:col>
      <xdr:colOff>241300</xdr:colOff>
      <xdr:row>10</xdr:row>
      <xdr:rowOff>12700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64FD339-6E84-CE25-ED43-D4910AF50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241300</xdr:colOff>
      <xdr:row>2</xdr:row>
      <xdr:rowOff>12700</xdr:rowOff>
    </xdr:from>
    <xdr:to>
      <xdr:col>30</xdr:col>
      <xdr:colOff>241300</xdr:colOff>
      <xdr:row>12</xdr:row>
      <xdr:rowOff>12700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ED24C30-99A2-62E4-9519-A341769CE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241300</xdr:colOff>
      <xdr:row>4</xdr:row>
      <xdr:rowOff>12700</xdr:rowOff>
    </xdr:from>
    <xdr:to>
      <xdr:col>31</xdr:col>
      <xdr:colOff>241300</xdr:colOff>
      <xdr:row>14</xdr:row>
      <xdr:rowOff>12700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9594FEF-0038-DBB6-5E81-7E1BD450D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26</xdr:col>
      <xdr:colOff>241300</xdr:colOff>
      <xdr:row>6</xdr:row>
      <xdr:rowOff>12700</xdr:rowOff>
    </xdr:from>
    <xdr:to>
      <xdr:col>32</xdr:col>
      <xdr:colOff>241300</xdr:colOff>
      <xdr:row>16</xdr:row>
      <xdr:rowOff>12700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4899621-639B-133E-C25D-35DD2DBF8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27</xdr:col>
      <xdr:colOff>241300</xdr:colOff>
      <xdr:row>8</xdr:row>
      <xdr:rowOff>12700</xdr:rowOff>
    </xdr:from>
    <xdr:to>
      <xdr:col>33</xdr:col>
      <xdr:colOff>241300</xdr:colOff>
      <xdr:row>18</xdr:row>
      <xdr:rowOff>12700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1F65EEB-06A7-5A85-E206-0BEEF6C61A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482B-74E5-454B-BFAF-711E7AEA67CB}">
  <dimension ref="A1:M59"/>
  <sheetViews>
    <sheetView topLeftCell="D16" zoomScaleNormal="100" workbookViewId="0">
      <selection activeCell="D22" sqref="D22"/>
    </sheetView>
  </sheetViews>
  <sheetFormatPr baseColWidth="10" defaultColWidth="8.83203125" defaultRowHeight="18" customHeight="1" x14ac:dyDescent="0.2"/>
  <cols>
    <col min="1" max="6" width="20.6640625" style="1" customWidth="1"/>
    <col min="7" max="8" width="10.6640625" customWidth="1"/>
    <col min="9" max="11" width="20.6640625" customWidth="1"/>
    <col min="12" max="13" width="10.6640625" style="13" customWidth="1"/>
  </cols>
  <sheetData>
    <row r="1" spans="1:13" ht="18" customHeight="1" x14ac:dyDescent="0.2">
      <c r="A1" s="2" t="s">
        <v>0</v>
      </c>
      <c r="B1" s="2" t="s">
        <v>2</v>
      </c>
      <c r="C1" s="2" t="s">
        <v>3</v>
      </c>
      <c r="D1" s="29" t="s">
        <v>35</v>
      </c>
      <c r="E1" s="29" t="s">
        <v>36</v>
      </c>
      <c r="F1" s="29" t="s">
        <v>37</v>
      </c>
      <c r="G1" s="23" t="s">
        <v>4</v>
      </c>
      <c r="H1" s="23" t="s">
        <v>5</v>
      </c>
      <c r="I1" s="23" t="s">
        <v>6</v>
      </c>
      <c r="J1" s="23" t="s">
        <v>7</v>
      </c>
      <c r="K1" s="23" t="s">
        <v>8</v>
      </c>
      <c r="L1" s="24" t="s">
        <v>9</v>
      </c>
      <c r="M1" s="24" t="s">
        <v>10</v>
      </c>
    </row>
    <row r="2" spans="1:13" ht="18" customHeight="1" x14ac:dyDescent="0.2">
      <c r="A2" s="3">
        <v>1</v>
      </c>
      <c r="B2" s="4">
        <v>0.99</v>
      </c>
      <c r="C2" s="4">
        <v>90.01</v>
      </c>
      <c r="D2" s="4">
        <f>B2*C2</f>
        <v>89.10990000000001</v>
      </c>
      <c r="E2" s="4">
        <f>B2*B2</f>
        <v>0.98009999999999997</v>
      </c>
      <c r="F2" s="4">
        <f>C2*C2</f>
        <v>8101.8001000000013</v>
      </c>
      <c r="G2" s="7">
        <f>B2-B$23</f>
        <v>-0.20600000000000018</v>
      </c>
      <c r="H2" s="7">
        <f>C2-C$23</f>
        <v>-2.1504999999999939</v>
      </c>
      <c r="I2" s="8">
        <f>G2*G2</f>
        <v>4.2436000000000078E-2</v>
      </c>
      <c r="J2" s="9">
        <f>G2*H2</f>
        <v>0.44300299999999915</v>
      </c>
      <c r="K2" s="10">
        <f t="shared" ref="K2:K21" si="0">$J$26+$J$25*B2</f>
        <v>89.081319175185058</v>
      </c>
      <c r="L2" s="12">
        <f t="shared" ref="L2:L21" si="1">C2-K2</f>
        <v>0.92868082481494696</v>
      </c>
      <c r="M2" s="12">
        <f>L2*L2</f>
        <v>0.8624480743789702</v>
      </c>
    </row>
    <row r="3" spans="1:13" ht="18" customHeight="1" x14ac:dyDescent="0.2">
      <c r="A3" s="3">
        <v>2</v>
      </c>
      <c r="B3" s="4">
        <v>1.02</v>
      </c>
      <c r="C3" s="4">
        <v>89.05</v>
      </c>
      <c r="D3" s="4">
        <f t="shared" ref="D3:D21" si="2">B3*C3</f>
        <v>90.831000000000003</v>
      </c>
      <c r="E3" s="4">
        <f t="shared" ref="E3:E21" si="3">B3*B3</f>
        <v>1.0404</v>
      </c>
      <c r="F3" s="4">
        <f t="shared" ref="F3:F20" si="4">C3*C3</f>
        <v>7929.9024999999992</v>
      </c>
      <c r="G3" s="7">
        <f t="shared" ref="G3:G21" si="5">B3-B$23</f>
        <v>-0.17600000000000016</v>
      </c>
      <c r="H3" s="7">
        <f t="shared" ref="H3:H21" si="6">C3-C$23</f>
        <v>-3.1105000000000018</v>
      </c>
      <c r="I3" s="8">
        <f t="shared" ref="I3:I21" si="7">G3*G3</f>
        <v>3.0976000000000056E-2</v>
      </c>
      <c r="J3" s="9">
        <f t="shared" ref="J3:J21" si="8">G3*H3</f>
        <v>0.54744800000000082</v>
      </c>
      <c r="K3" s="10">
        <f t="shared" si="0"/>
        <v>89.529743567148401</v>
      </c>
      <c r="L3" s="12">
        <f t="shared" si="1"/>
        <v>-0.47974356714840383</v>
      </c>
      <c r="M3" s="12">
        <f t="shared" ref="M3:M21" si="9">L3*L3</f>
        <v>0.23015389022027505</v>
      </c>
    </row>
    <row r="4" spans="1:13" ht="18" customHeight="1" x14ac:dyDescent="0.2">
      <c r="A4" s="3">
        <v>3</v>
      </c>
      <c r="B4" s="4">
        <v>1.1499999999999999</v>
      </c>
      <c r="C4" s="4">
        <v>91.43</v>
      </c>
      <c r="D4" s="4">
        <f t="shared" si="2"/>
        <v>105.14449999999999</v>
      </c>
      <c r="E4" s="4">
        <f t="shared" si="3"/>
        <v>1.3224999999999998</v>
      </c>
      <c r="F4" s="4">
        <f t="shared" si="4"/>
        <v>8359.4449000000004</v>
      </c>
      <c r="G4" s="7">
        <f t="shared" si="5"/>
        <v>-4.6000000000000263E-2</v>
      </c>
      <c r="H4" s="7">
        <f t="shared" si="6"/>
        <v>-0.73049999999999216</v>
      </c>
      <c r="I4" s="8">
        <f t="shared" si="7"/>
        <v>2.1160000000000241E-3</v>
      </c>
      <c r="J4" s="9">
        <f t="shared" si="8"/>
        <v>3.3602999999999834E-2</v>
      </c>
      <c r="K4" s="10">
        <f t="shared" si="0"/>
        <v>91.472915932322877</v>
      </c>
      <c r="L4" s="12">
        <f t="shared" si="1"/>
        <v>-4.2915932322870276E-2</v>
      </c>
      <c r="M4" s="12">
        <f t="shared" si="9"/>
        <v>1.8417772471411818E-3</v>
      </c>
    </row>
    <row r="5" spans="1:13" ht="18" customHeight="1" x14ac:dyDescent="0.2">
      <c r="A5" s="3">
        <v>4</v>
      </c>
      <c r="B5" s="4">
        <v>1.29</v>
      </c>
      <c r="C5" s="4">
        <v>93.74</v>
      </c>
      <c r="D5" s="4">
        <f t="shared" si="2"/>
        <v>120.9246</v>
      </c>
      <c r="E5" s="4">
        <f t="shared" si="3"/>
        <v>1.6641000000000001</v>
      </c>
      <c r="F5" s="4">
        <f t="shared" si="4"/>
        <v>8787.1875999999993</v>
      </c>
      <c r="G5" s="7">
        <f t="shared" si="5"/>
        <v>9.3999999999999861E-2</v>
      </c>
      <c r="H5" s="7">
        <f t="shared" si="6"/>
        <v>1.5794999999999959</v>
      </c>
      <c r="I5" s="8">
        <f t="shared" si="7"/>
        <v>8.8359999999999741E-3</v>
      </c>
      <c r="J5" s="9">
        <f t="shared" si="8"/>
        <v>0.14847299999999938</v>
      </c>
      <c r="K5" s="10">
        <f t="shared" si="0"/>
        <v>93.565563094818472</v>
      </c>
      <c r="L5" s="12">
        <f t="shared" si="1"/>
        <v>0.17443690518152266</v>
      </c>
      <c r="M5" s="12">
        <f t="shared" si="9"/>
        <v>3.0428233889307526E-2</v>
      </c>
    </row>
    <row r="6" spans="1:13" ht="18" customHeight="1" x14ac:dyDescent="0.2">
      <c r="A6" s="3">
        <v>5</v>
      </c>
      <c r="B6" s="4">
        <v>1.46</v>
      </c>
      <c r="C6" s="4">
        <v>96.73</v>
      </c>
      <c r="D6" s="4">
        <f t="shared" si="2"/>
        <v>141.22579999999999</v>
      </c>
      <c r="E6" s="4">
        <f t="shared" si="3"/>
        <v>2.1315999999999997</v>
      </c>
      <c r="F6" s="4">
        <f t="shared" si="4"/>
        <v>9356.6929</v>
      </c>
      <c r="G6" s="7">
        <f t="shared" si="5"/>
        <v>0.26399999999999979</v>
      </c>
      <c r="H6" s="7">
        <f t="shared" si="6"/>
        <v>4.569500000000005</v>
      </c>
      <c r="I6" s="8">
        <f t="shared" si="7"/>
        <v>6.9695999999999883E-2</v>
      </c>
      <c r="J6" s="9">
        <f t="shared" si="8"/>
        <v>1.2063480000000004</v>
      </c>
      <c r="K6" s="10">
        <f t="shared" si="0"/>
        <v>96.10663464927741</v>
      </c>
      <c r="L6" s="12">
        <f t="shared" si="1"/>
        <v>0.6233653507225938</v>
      </c>
      <c r="M6" s="12">
        <f t="shared" si="9"/>
        <v>0.38858436048150236</v>
      </c>
    </row>
    <row r="7" spans="1:13" ht="18" customHeight="1" x14ac:dyDescent="0.2">
      <c r="A7" s="3">
        <v>6</v>
      </c>
      <c r="B7" s="4">
        <v>1.36</v>
      </c>
      <c r="C7" s="4">
        <v>94.45</v>
      </c>
      <c r="D7" s="4">
        <f t="shared" si="2"/>
        <v>128.45200000000003</v>
      </c>
      <c r="E7" s="4">
        <f t="shared" si="3"/>
        <v>1.8496000000000004</v>
      </c>
      <c r="F7" s="4">
        <f t="shared" si="4"/>
        <v>8920.8024999999998</v>
      </c>
      <c r="G7" s="7">
        <f t="shared" si="5"/>
        <v>0.16399999999999992</v>
      </c>
      <c r="H7" s="7">
        <f t="shared" si="6"/>
        <v>2.2895000000000039</v>
      </c>
      <c r="I7" s="8">
        <f t="shared" si="7"/>
        <v>2.6895999999999975E-2</v>
      </c>
      <c r="J7" s="9">
        <f t="shared" si="8"/>
        <v>0.37547800000000048</v>
      </c>
      <c r="K7" s="10">
        <f t="shared" si="0"/>
        <v>94.611886676066277</v>
      </c>
      <c r="L7" s="12">
        <f t="shared" si="1"/>
        <v>-0.16188667606627405</v>
      </c>
      <c r="M7" s="12">
        <f t="shared" si="9"/>
        <v>2.6207295887786745E-2</v>
      </c>
    </row>
    <row r="8" spans="1:13" ht="18" customHeight="1" x14ac:dyDescent="0.2">
      <c r="A8" s="3">
        <v>7</v>
      </c>
      <c r="B8" s="4">
        <v>0.87</v>
      </c>
      <c r="C8" s="4">
        <v>87.59</v>
      </c>
      <c r="D8" s="4">
        <f t="shared" si="2"/>
        <v>76.203299999999999</v>
      </c>
      <c r="E8" s="4">
        <f t="shared" si="3"/>
        <v>0.75690000000000002</v>
      </c>
      <c r="F8" s="4">
        <f t="shared" si="4"/>
        <v>7672.0081000000009</v>
      </c>
      <c r="G8" s="7">
        <f t="shared" si="5"/>
        <v>-0.32600000000000018</v>
      </c>
      <c r="H8" s="7">
        <f t="shared" si="6"/>
        <v>-4.5704999999999956</v>
      </c>
      <c r="I8" s="8">
        <f t="shared" si="7"/>
        <v>0.10627600000000012</v>
      </c>
      <c r="J8" s="9">
        <f t="shared" si="8"/>
        <v>1.4899829999999994</v>
      </c>
      <c r="K8" s="10">
        <f t="shared" si="0"/>
        <v>87.287621607331687</v>
      </c>
      <c r="L8" s="12">
        <f t="shared" si="1"/>
        <v>0.30237839266831656</v>
      </c>
      <c r="M8" s="12">
        <f t="shared" si="9"/>
        <v>9.1432692352674635E-2</v>
      </c>
    </row>
    <row r="9" spans="1:13" ht="18" customHeight="1" x14ac:dyDescent="0.2">
      <c r="A9" s="3">
        <v>8</v>
      </c>
      <c r="B9" s="4">
        <v>1.23</v>
      </c>
      <c r="C9" s="4">
        <v>91.77</v>
      </c>
      <c r="D9" s="4">
        <f t="shared" si="2"/>
        <v>112.8771</v>
      </c>
      <c r="E9" s="4">
        <f t="shared" si="3"/>
        <v>1.5128999999999999</v>
      </c>
      <c r="F9" s="4">
        <f t="shared" si="4"/>
        <v>8421.7328999999991</v>
      </c>
      <c r="G9" s="7">
        <f t="shared" si="5"/>
        <v>3.3999999999999808E-2</v>
      </c>
      <c r="H9" s="7">
        <f t="shared" si="6"/>
        <v>-0.39050000000000296</v>
      </c>
      <c r="I9" s="8">
        <f t="shared" si="7"/>
        <v>1.1559999999999869E-3</v>
      </c>
      <c r="J9" s="9">
        <f t="shared" si="8"/>
        <v>-1.3277000000000025E-2</v>
      </c>
      <c r="K9" s="10">
        <f t="shared" si="0"/>
        <v>92.668714310891787</v>
      </c>
      <c r="L9" s="12">
        <f t="shared" si="1"/>
        <v>-0.89871431089179055</v>
      </c>
      <c r="M9" s="12">
        <f t="shared" si="9"/>
        <v>0.80768741260170596</v>
      </c>
    </row>
    <row r="10" spans="1:13" ht="18" customHeight="1" x14ac:dyDescent="0.2">
      <c r="A10" s="3">
        <v>9</v>
      </c>
      <c r="B10" s="4">
        <v>1.55</v>
      </c>
      <c r="C10" s="4">
        <v>99.42</v>
      </c>
      <c r="D10" s="4">
        <f t="shared" si="2"/>
        <v>154.101</v>
      </c>
      <c r="E10" s="4">
        <f t="shared" si="3"/>
        <v>2.4025000000000003</v>
      </c>
      <c r="F10" s="4">
        <f t="shared" si="4"/>
        <v>9884.3364000000001</v>
      </c>
      <c r="G10" s="7">
        <f t="shared" si="5"/>
        <v>0.35399999999999987</v>
      </c>
      <c r="H10" s="7">
        <f t="shared" si="6"/>
        <v>7.2595000000000027</v>
      </c>
      <c r="I10" s="8">
        <f t="shared" si="7"/>
        <v>0.1253159999999999</v>
      </c>
      <c r="J10" s="9">
        <f t="shared" si="8"/>
        <v>2.5698630000000002</v>
      </c>
      <c r="K10" s="10">
        <f t="shared" si="0"/>
        <v>97.451907825167439</v>
      </c>
      <c r="L10" s="12">
        <f t="shared" si="1"/>
        <v>1.968092174832563</v>
      </c>
      <c r="M10" s="12">
        <f t="shared" si="9"/>
        <v>3.8733868086371679</v>
      </c>
    </row>
    <row r="11" spans="1:13" ht="18" customHeight="1" x14ac:dyDescent="0.2">
      <c r="A11" s="3">
        <v>10</v>
      </c>
      <c r="B11" s="4">
        <v>1.4</v>
      </c>
      <c r="C11" s="4">
        <v>93.65</v>
      </c>
      <c r="D11" s="4">
        <f t="shared" si="2"/>
        <v>131.11000000000001</v>
      </c>
      <c r="E11" s="4">
        <f t="shared" si="3"/>
        <v>1.9599999999999997</v>
      </c>
      <c r="F11" s="4">
        <f t="shared" si="4"/>
        <v>8770.3225000000002</v>
      </c>
      <c r="G11" s="7">
        <f t="shared" si="5"/>
        <v>0.20399999999999974</v>
      </c>
      <c r="H11" s="7">
        <f t="shared" si="6"/>
        <v>1.4895000000000067</v>
      </c>
      <c r="I11" s="8">
        <f t="shared" si="7"/>
        <v>4.1615999999999896E-2</v>
      </c>
      <c r="J11" s="9">
        <f t="shared" si="8"/>
        <v>0.30385800000000096</v>
      </c>
      <c r="K11" s="10">
        <f t="shared" si="0"/>
        <v>95.209785865350725</v>
      </c>
      <c r="L11" s="12">
        <f t="shared" si="1"/>
        <v>-1.5597858653507188</v>
      </c>
      <c r="M11" s="12">
        <f t="shared" si="9"/>
        <v>2.4329319457478906</v>
      </c>
    </row>
    <row r="12" spans="1:13" ht="18" customHeight="1" x14ac:dyDescent="0.2">
      <c r="A12" s="3">
        <v>11</v>
      </c>
      <c r="B12" s="4">
        <v>1.19</v>
      </c>
      <c r="C12" s="4">
        <v>93.54</v>
      </c>
      <c r="D12" s="4">
        <f t="shared" si="2"/>
        <v>111.3126</v>
      </c>
      <c r="E12" s="4">
        <f t="shared" si="3"/>
        <v>1.4160999999999999</v>
      </c>
      <c r="F12" s="4">
        <f t="shared" si="4"/>
        <v>8749.731600000001</v>
      </c>
      <c r="G12" s="7">
        <f t="shared" si="5"/>
        <v>-6.0000000000002274E-3</v>
      </c>
      <c r="H12" s="7">
        <f t="shared" si="6"/>
        <v>1.3795000000000073</v>
      </c>
      <c r="I12" s="8">
        <f t="shared" si="7"/>
        <v>3.6000000000002732E-5</v>
      </c>
      <c r="J12" s="9">
        <f t="shared" si="8"/>
        <v>-8.277000000000357E-3</v>
      </c>
      <c r="K12" s="10">
        <f t="shared" si="0"/>
        <v>92.070815121607339</v>
      </c>
      <c r="L12" s="12">
        <f t="shared" si="1"/>
        <v>1.4691848783926673</v>
      </c>
      <c r="M12" s="12">
        <f t="shared" si="9"/>
        <v>2.1585042068976765</v>
      </c>
    </row>
    <row r="13" spans="1:13" ht="18" customHeight="1" x14ac:dyDescent="0.2">
      <c r="A13" s="3">
        <v>12</v>
      </c>
      <c r="B13" s="4">
        <v>1.1499999999999999</v>
      </c>
      <c r="C13" s="4">
        <v>92.52</v>
      </c>
      <c r="D13" s="4">
        <f t="shared" si="2"/>
        <v>106.39799999999998</v>
      </c>
      <c r="E13" s="4">
        <f t="shared" si="3"/>
        <v>1.3224999999999998</v>
      </c>
      <c r="F13" s="4">
        <f t="shared" si="4"/>
        <v>8559.9503999999997</v>
      </c>
      <c r="G13" s="7">
        <f t="shared" si="5"/>
        <v>-4.6000000000000263E-2</v>
      </c>
      <c r="H13" s="7">
        <f t="shared" si="6"/>
        <v>0.35949999999999704</v>
      </c>
      <c r="I13" s="8">
        <f t="shared" si="7"/>
        <v>2.1160000000000241E-3</v>
      </c>
      <c r="J13" s="9">
        <f t="shared" si="8"/>
        <v>-1.6536999999999958E-2</v>
      </c>
      <c r="K13" s="10">
        <f t="shared" si="0"/>
        <v>91.472915932322877</v>
      </c>
      <c r="L13" s="12">
        <f t="shared" si="1"/>
        <v>1.0470840676771189</v>
      </c>
      <c r="M13" s="12">
        <f t="shared" si="9"/>
        <v>1.0963850447832613</v>
      </c>
    </row>
    <row r="14" spans="1:13" ht="18" customHeight="1" x14ac:dyDescent="0.2">
      <c r="A14" s="3">
        <v>13</v>
      </c>
      <c r="B14" s="4">
        <v>0.98</v>
      </c>
      <c r="C14" s="4">
        <v>90.56</v>
      </c>
      <c r="D14" s="4">
        <f t="shared" si="2"/>
        <v>88.748800000000003</v>
      </c>
      <c r="E14" s="4">
        <f t="shared" si="3"/>
        <v>0.96039999999999992</v>
      </c>
      <c r="F14" s="4">
        <f t="shared" si="4"/>
        <v>8201.1136000000006</v>
      </c>
      <c r="G14" s="7">
        <f t="shared" si="5"/>
        <v>-0.21600000000000019</v>
      </c>
      <c r="H14" s="7">
        <f t="shared" si="6"/>
        <v>-1.6004999999999967</v>
      </c>
      <c r="I14" s="8">
        <f t="shared" si="7"/>
        <v>4.6656000000000086E-2</v>
      </c>
      <c r="J14" s="9">
        <f t="shared" si="8"/>
        <v>0.34570799999999957</v>
      </c>
      <c r="K14" s="10">
        <f t="shared" si="0"/>
        <v>88.931844377863939</v>
      </c>
      <c r="L14" s="12">
        <f t="shared" si="1"/>
        <v>1.6281556221360631</v>
      </c>
      <c r="M14" s="12">
        <f t="shared" si="9"/>
        <v>2.6508907298932707</v>
      </c>
    </row>
    <row r="15" spans="1:13" ht="18" customHeight="1" x14ac:dyDescent="0.2">
      <c r="A15" s="3">
        <v>14</v>
      </c>
      <c r="B15" s="4">
        <v>1.01</v>
      </c>
      <c r="C15" s="4">
        <v>89.54</v>
      </c>
      <c r="D15" s="4">
        <f t="shared" si="2"/>
        <v>90.435400000000001</v>
      </c>
      <c r="E15" s="4">
        <f t="shared" si="3"/>
        <v>1.0201</v>
      </c>
      <c r="F15" s="4">
        <f t="shared" si="4"/>
        <v>8017.4116000000013</v>
      </c>
      <c r="G15" s="7">
        <f t="shared" si="5"/>
        <v>-0.18600000000000017</v>
      </c>
      <c r="H15" s="7">
        <f t="shared" si="6"/>
        <v>-2.6204999999999927</v>
      </c>
      <c r="I15" s="8">
        <f t="shared" si="7"/>
        <v>3.4596000000000064E-2</v>
      </c>
      <c r="J15" s="9">
        <f t="shared" si="8"/>
        <v>0.4874129999999991</v>
      </c>
      <c r="K15" s="10">
        <f t="shared" si="0"/>
        <v>89.380268769827282</v>
      </c>
      <c r="L15" s="12">
        <f t="shared" si="1"/>
        <v>0.15973123017272428</v>
      </c>
      <c r="M15" s="12">
        <f t="shared" si="9"/>
        <v>2.5514065892491822E-2</v>
      </c>
    </row>
    <row r="16" spans="1:13" ht="18" customHeight="1" x14ac:dyDescent="0.2">
      <c r="A16" s="3">
        <v>15</v>
      </c>
      <c r="B16" s="4">
        <v>1.1100000000000001</v>
      </c>
      <c r="C16" s="4">
        <v>89.85</v>
      </c>
      <c r="D16" s="4">
        <f t="shared" si="2"/>
        <v>99.733500000000006</v>
      </c>
      <c r="E16" s="4">
        <f t="shared" si="3"/>
        <v>1.2321000000000002</v>
      </c>
      <c r="F16" s="4">
        <f t="shared" si="4"/>
        <v>8073.0224999999991</v>
      </c>
      <c r="G16" s="7">
        <f t="shared" si="5"/>
        <v>-8.6000000000000076E-2</v>
      </c>
      <c r="H16" s="7">
        <f t="shared" si="6"/>
        <v>-2.3105000000000047</v>
      </c>
      <c r="I16" s="8">
        <f t="shared" si="7"/>
        <v>7.3960000000000128E-3</v>
      </c>
      <c r="J16" s="9">
        <f t="shared" si="8"/>
        <v>0.19870300000000057</v>
      </c>
      <c r="K16" s="10">
        <f t="shared" si="0"/>
        <v>90.875016743038429</v>
      </c>
      <c r="L16" s="12">
        <f t="shared" si="1"/>
        <v>-1.0250167430384352</v>
      </c>
      <c r="M16" s="12">
        <f t="shared" si="9"/>
        <v>1.0506593235091215</v>
      </c>
    </row>
    <row r="17" spans="1:13" ht="18" customHeight="1" x14ac:dyDescent="0.2">
      <c r="A17" s="3">
        <v>16</v>
      </c>
      <c r="B17" s="4">
        <v>1.2</v>
      </c>
      <c r="C17" s="4">
        <v>90.39</v>
      </c>
      <c r="D17" s="4">
        <f t="shared" si="2"/>
        <v>108.468</v>
      </c>
      <c r="E17" s="4">
        <f t="shared" si="3"/>
        <v>1.44</v>
      </c>
      <c r="F17" s="4">
        <f t="shared" si="4"/>
        <v>8170.3521000000001</v>
      </c>
      <c r="G17" s="7">
        <f t="shared" si="5"/>
        <v>3.9999999999997815E-3</v>
      </c>
      <c r="H17" s="7">
        <f t="shared" si="6"/>
        <v>-1.7704999999999984</v>
      </c>
      <c r="I17" s="8">
        <f t="shared" si="7"/>
        <v>1.5999999999998251E-5</v>
      </c>
      <c r="J17" s="9">
        <f t="shared" si="8"/>
        <v>-7.0819999999996068E-3</v>
      </c>
      <c r="K17" s="10">
        <f t="shared" si="0"/>
        <v>92.220289918928444</v>
      </c>
      <c r="L17" s="12">
        <f t="shared" si="1"/>
        <v>-1.8302899189284432</v>
      </c>
      <c r="M17" s="12">
        <f t="shared" si="9"/>
        <v>3.3499611873310871</v>
      </c>
    </row>
    <row r="18" spans="1:13" ht="18" customHeight="1" x14ac:dyDescent="0.2">
      <c r="A18" s="3">
        <v>17</v>
      </c>
      <c r="B18" s="4">
        <v>1.26</v>
      </c>
      <c r="C18" s="4">
        <v>93.25</v>
      </c>
      <c r="D18" s="4">
        <f t="shared" si="2"/>
        <v>117.495</v>
      </c>
      <c r="E18" s="4">
        <f t="shared" si="3"/>
        <v>1.5876000000000001</v>
      </c>
      <c r="F18" s="4">
        <f t="shared" si="4"/>
        <v>8695.5625</v>
      </c>
      <c r="G18" s="7">
        <f t="shared" si="5"/>
        <v>6.3999999999999835E-2</v>
      </c>
      <c r="H18" s="7">
        <f t="shared" si="6"/>
        <v>1.089500000000001</v>
      </c>
      <c r="I18" s="8">
        <f t="shared" si="7"/>
        <v>4.095999999999979E-3</v>
      </c>
      <c r="J18" s="9">
        <f t="shared" si="8"/>
        <v>6.9727999999999887E-2</v>
      </c>
      <c r="K18" s="10">
        <f t="shared" si="0"/>
        <v>93.117138702855129</v>
      </c>
      <c r="L18" s="12">
        <f t="shared" si="1"/>
        <v>0.1328612971448706</v>
      </c>
      <c r="M18" s="12">
        <f t="shared" si="9"/>
        <v>1.7652124279017602E-2</v>
      </c>
    </row>
    <row r="19" spans="1:13" ht="18" customHeight="1" x14ac:dyDescent="0.2">
      <c r="A19" s="3">
        <v>18</v>
      </c>
      <c r="B19" s="4">
        <v>1.32</v>
      </c>
      <c r="C19" s="4">
        <v>93.41</v>
      </c>
      <c r="D19" s="4">
        <f t="shared" si="2"/>
        <v>123.30119999999999</v>
      </c>
      <c r="E19" s="4">
        <f t="shared" si="3"/>
        <v>1.7424000000000002</v>
      </c>
      <c r="F19" s="4">
        <f t="shared" si="4"/>
        <v>8725.4280999999992</v>
      </c>
      <c r="G19" s="7">
        <f t="shared" si="5"/>
        <v>0.12399999999999989</v>
      </c>
      <c r="H19" s="7">
        <f t="shared" si="6"/>
        <v>1.2494999999999976</v>
      </c>
      <c r="I19" s="8">
        <f t="shared" si="7"/>
        <v>1.5375999999999973E-2</v>
      </c>
      <c r="J19" s="9">
        <f t="shared" si="8"/>
        <v>0.15493799999999958</v>
      </c>
      <c r="K19" s="10">
        <f t="shared" si="0"/>
        <v>94.013987486781815</v>
      </c>
      <c r="L19" s="12">
        <f t="shared" si="1"/>
        <v>-0.60398748678181846</v>
      </c>
      <c r="M19" s="12">
        <f t="shared" si="9"/>
        <v>0.36480088418901735</v>
      </c>
    </row>
    <row r="20" spans="1:13" ht="18" customHeight="1" x14ac:dyDescent="0.2">
      <c r="A20" s="3">
        <v>19</v>
      </c>
      <c r="B20" s="4">
        <v>1.43</v>
      </c>
      <c r="C20" s="4">
        <v>94.98</v>
      </c>
      <c r="D20" s="4">
        <f t="shared" si="2"/>
        <v>135.82140000000001</v>
      </c>
      <c r="E20" s="4">
        <f t="shared" si="3"/>
        <v>2.0448999999999997</v>
      </c>
      <c r="F20" s="4">
        <f t="shared" si="4"/>
        <v>9021.2004000000015</v>
      </c>
      <c r="G20" s="7">
        <f t="shared" si="5"/>
        <v>0.23399999999999976</v>
      </c>
      <c r="H20" s="7">
        <f t="shared" si="6"/>
        <v>2.819500000000005</v>
      </c>
      <c r="I20" s="8">
        <f t="shared" si="7"/>
        <v>5.4755999999999888E-2</v>
      </c>
      <c r="J20" s="9">
        <f t="shared" si="8"/>
        <v>0.65976300000000054</v>
      </c>
      <c r="K20" s="10">
        <f t="shared" si="0"/>
        <v>95.658210257314067</v>
      </c>
      <c r="L20" s="12">
        <f t="shared" si="1"/>
        <v>-0.67821025731406337</v>
      </c>
      <c r="M20" s="12">
        <f t="shared" si="9"/>
        <v>0.45996915312600806</v>
      </c>
    </row>
    <row r="21" spans="1:13" ht="18" customHeight="1" x14ac:dyDescent="0.2">
      <c r="A21" s="3">
        <v>20</v>
      </c>
      <c r="B21" s="4">
        <v>0.95</v>
      </c>
      <c r="C21" s="4">
        <v>87.33</v>
      </c>
      <c r="D21" s="4">
        <f t="shared" si="2"/>
        <v>82.963499999999996</v>
      </c>
      <c r="E21" s="4">
        <f t="shared" si="3"/>
        <v>0.90249999999999997</v>
      </c>
      <c r="F21" s="4">
        <f>C21*C21</f>
        <v>7626.5288999999993</v>
      </c>
      <c r="G21" s="7">
        <f t="shared" si="5"/>
        <v>-0.24600000000000022</v>
      </c>
      <c r="H21" s="7">
        <f t="shared" si="6"/>
        <v>-4.8305000000000007</v>
      </c>
      <c r="I21" s="8">
        <f t="shared" si="7"/>
        <v>6.0516000000000104E-2</v>
      </c>
      <c r="J21" s="9">
        <f t="shared" si="8"/>
        <v>1.1883030000000012</v>
      </c>
      <c r="K21" s="10">
        <f t="shared" si="0"/>
        <v>88.483419985900596</v>
      </c>
      <c r="L21" s="12">
        <f t="shared" si="1"/>
        <v>-1.153419985900598</v>
      </c>
      <c r="M21" s="12">
        <f t="shared" si="9"/>
        <v>1.3303776638749358</v>
      </c>
    </row>
    <row r="22" spans="1:13" s="19" customFormat="1" ht="18" customHeight="1" x14ac:dyDescent="0.2">
      <c r="A22" s="16"/>
      <c r="B22" s="17" t="s">
        <v>11</v>
      </c>
      <c r="C22" s="17" t="s">
        <v>12</v>
      </c>
      <c r="D22" s="17"/>
      <c r="E22" s="17"/>
      <c r="F22" s="17"/>
      <c r="G22" s="18"/>
      <c r="H22" s="18"/>
      <c r="I22" s="19" t="s">
        <v>13</v>
      </c>
      <c r="J22" s="19" t="s">
        <v>14</v>
      </c>
      <c r="L22" s="14"/>
      <c r="M22" s="14" t="s">
        <v>17</v>
      </c>
    </row>
    <row r="23" spans="1:13" ht="18" customHeight="1" x14ac:dyDescent="0.2">
      <c r="B23" s="11">
        <f>AVERAGE(B2:B21)</f>
        <v>1.1960000000000002</v>
      </c>
      <c r="C23" s="11">
        <f>AVERAGE(C2:C21)</f>
        <v>92.160499999999999</v>
      </c>
      <c r="D23" s="13"/>
      <c r="E23" s="13"/>
      <c r="F23" s="13"/>
      <c r="G23" s="1"/>
      <c r="I23" s="9">
        <f>SUM(I2:I21)</f>
        <v>0.68087999999999993</v>
      </c>
      <c r="J23" s="9">
        <f>SUM(J2:J21)</f>
        <v>10.177439999999999</v>
      </c>
      <c r="K23" s="1"/>
      <c r="L23" s="13">
        <f>SUM(L2:L21)</f>
        <v>-2.8421709430404007E-14</v>
      </c>
      <c r="M23" s="20">
        <f>SUM(M2:M21)</f>
        <v>21.249816875220304</v>
      </c>
    </row>
    <row r="24" spans="1:13" ht="18" customHeight="1" x14ac:dyDescent="0.2">
      <c r="B24" s="19" t="s">
        <v>31</v>
      </c>
      <c r="C24" s="19" t="s">
        <v>32</v>
      </c>
      <c r="D24" s="19" t="s">
        <v>33</v>
      </c>
      <c r="E24" s="19" t="s">
        <v>34</v>
      </c>
      <c r="F24" s="19" t="s">
        <v>38</v>
      </c>
    </row>
    <row r="25" spans="1:13" ht="18" customHeight="1" x14ac:dyDescent="0.2">
      <c r="B25" s="11">
        <f>SUM(B2:B21)</f>
        <v>23.92</v>
      </c>
      <c r="C25" s="11">
        <f>SUM(C2:C21)</f>
        <v>1843.21</v>
      </c>
      <c r="D25" s="11">
        <f>SUM(D2:D21)</f>
        <v>2214.6565999999998</v>
      </c>
      <c r="E25" s="11">
        <f>SUM(E2:E22)</f>
        <v>29.289200000000001</v>
      </c>
      <c r="F25" s="11">
        <f>SUM(F2:F22)</f>
        <v>170044.53209999998</v>
      </c>
      <c r="I25" s="25" t="s">
        <v>15</v>
      </c>
      <c r="J25" s="15">
        <f>J23/I23</f>
        <v>14.947479732111384</v>
      </c>
      <c r="K25" t="s">
        <v>18</v>
      </c>
    </row>
    <row r="26" spans="1:13" ht="18" customHeight="1" x14ac:dyDescent="0.2">
      <c r="I26" s="25" t="s">
        <v>16</v>
      </c>
      <c r="J26" s="15">
        <f>C23-(J25*B23)</f>
        <v>74.283314240394787</v>
      </c>
      <c r="K26" t="s">
        <v>8</v>
      </c>
    </row>
    <row r="29" spans="1:13" ht="18" customHeight="1" x14ac:dyDescent="0.2">
      <c r="I29" s="21" t="s">
        <v>19</v>
      </c>
      <c r="J29" s="9">
        <f>(D25-(B25*C25)/COUNT(B2:B21))/(SQRT((E25-(B25)^2/COUNT(B2:B21))*(F25-C25^2/COUNT(B2:B21))))</f>
        <v>0.93671538109060837</v>
      </c>
      <c r="K29" s="30" t="s">
        <v>39</v>
      </c>
    </row>
    <row r="30" spans="1:13" ht="18" customHeight="1" x14ac:dyDescent="0.2">
      <c r="J30" s="31">
        <f>CORREL(B2:B21, C2:C21)</f>
        <v>0.93671538109051833</v>
      </c>
      <c r="K30" s="30" t="s">
        <v>40</v>
      </c>
    </row>
    <row r="45" spans="2:3" ht="18" customHeight="1" x14ac:dyDescent="0.2">
      <c r="B45" s="32" t="s">
        <v>41</v>
      </c>
      <c r="C45" s="32" t="s">
        <v>42</v>
      </c>
    </row>
    <row r="46" spans="2:3" ht="18" customHeight="1" x14ac:dyDescent="0.2">
      <c r="B46" s="32">
        <v>1</v>
      </c>
      <c r="C46" s="32">
        <v>500</v>
      </c>
    </row>
    <row r="47" spans="2:3" ht="18" customHeight="1" x14ac:dyDescent="0.2">
      <c r="B47" s="32">
        <v>2</v>
      </c>
      <c r="C47" s="32">
        <v>495</v>
      </c>
    </row>
    <row r="48" spans="2:3" ht="18" customHeight="1" x14ac:dyDescent="0.2">
      <c r="B48" s="32">
        <v>3</v>
      </c>
      <c r="C48" s="32">
        <v>425</v>
      </c>
    </row>
    <row r="49" spans="1:3" ht="18" customHeight="1" x14ac:dyDescent="0.2">
      <c r="B49" s="32">
        <v>4</v>
      </c>
      <c r="C49" s="32">
        <v>705</v>
      </c>
    </row>
    <row r="50" spans="1:3" ht="18" customHeight="1" x14ac:dyDescent="0.2">
      <c r="B50" s="32">
        <v>5</v>
      </c>
      <c r="C50" s="32">
        <v>400</v>
      </c>
    </row>
    <row r="51" spans="1:3" ht="18" customHeight="1" x14ac:dyDescent="0.2">
      <c r="B51" s="32">
        <v>6</v>
      </c>
      <c r="C51" s="32">
        <v>398</v>
      </c>
    </row>
    <row r="52" spans="1:3" ht="18" customHeight="1" x14ac:dyDescent="0.2">
      <c r="B52" s="32">
        <v>7</v>
      </c>
      <c r="C52" s="32">
        <v>378</v>
      </c>
    </row>
    <row r="53" spans="1:3" ht="18" customHeight="1" x14ac:dyDescent="0.2">
      <c r="B53" s="32">
        <v>8</v>
      </c>
      <c r="C53" s="32">
        <v>359</v>
      </c>
    </row>
    <row r="54" spans="1:3" ht="18" customHeight="1" x14ac:dyDescent="0.2">
      <c r="B54" s="32">
        <v>9</v>
      </c>
      <c r="C54" s="32">
        <v>324</v>
      </c>
    </row>
    <row r="55" spans="1:3" ht="18" customHeight="1" x14ac:dyDescent="0.2">
      <c r="B55" s="32">
        <v>10</v>
      </c>
      <c r="C55" s="32">
        <v>313</v>
      </c>
    </row>
    <row r="57" spans="1:3" ht="18" customHeight="1" x14ac:dyDescent="0.2">
      <c r="B57" s="1" t="s">
        <v>43</v>
      </c>
      <c r="C57" s="1">
        <f>CORREL(B46:B56, C46:C56)</f>
        <v>-0.66807274104624614</v>
      </c>
    </row>
    <row r="59" spans="1:3" ht="18" customHeight="1" x14ac:dyDescent="0.2">
      <c r="A59" s="5" t="s">
        <v>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C267C-F4BC-4234-89D0-A1B722677F09}">
  <dimension ref="A1:Q57"/>
  <sheetViews>
    <sheetView topLeftCell="G17" zoomScale="92" zoomScaleNormal="50" workbookViewId="0">
      <selection activeCell="C26" sqref="C26"/>
    </sheetView>
  </sheetViews>
  <sheetFormatPr baseColWidth="10" defaultColWidth="8.83203125" defaultRowHeight="18" customHeight="1" x14ac:dyDescent="0.2"/>
  <cols>
    <col min="1" max="7" width="20.6640625" style="1" customWidth="1"/>
    <col min="9" max="9" width="9.1640625" bestFit="1" customWidth="1"/>
    <col min="10" max="10" width="12.5" bestFit="1" customWidth="1"/>
    <col min="11" max="11" width="11.83203125" bestFit="1" customWidth="1"/>
    <col min="12" max="12" width="9.5" bestFit="1" customWidth="1"/>
    <col min="13" max="13" width="9.33203125" bestFit="1" customWidth="1"/>
    <col min="14" max="14" width="13.83203125" bestFit="1" customWidth="1"/>
    <col min="15" max="15" width="9.1640625" bestFit="1" customWidth="1"/>
    <col min="16" max="16" width="12.33203125" bestFit="1" customWidth="1"/>
    <col min="17" max="17" width="11.83203125" bestFit="1" customWidth="1"/>
  </cols>
  <sheetData>
    <row r="1" spans="1:14" ht="18" customHeight="1" x14ac:dyDescent="0.2">
      <c r="A1" s="22" t="s">
        <v>0</v>
      </c>
      <c r="B1" s="22" t="s">
        <v>20</v>
      </c>
      <c r="C1" s="22" t="s">
        <v>21</v>
      </c>
      <c r="D1" s="22" t="s">
        <v>22</v>
      </c>
      <c r="E1" s="22" t="s">
        <v>75</v>
      </c>
      <c r="F1" s="22" t="s">
        <v>76</v>
      </c>
      <c r="G1" s="22" t="s">
        <v>77</v>
      </c>
    </row>
    <row r="2" spans="1:14" ht="18" customHeight="1" x14ac:dyDescent="0.2">
      <c r="A2" s="6">
        <v>1</v>
      </c>
      <c r="B2" s="6">
        <v>9.9499999999999993</v>
      </c>
      <c r="C2" s="6">
        <v>2</v>
      </c>
      <c r="D2" s="6">
        <v>50</v>
      </c>
      <c r="E2" s="6">
        <f>C2*D2</f>
        <v>100</v>
      </c>
      <c r="F2" s="6">
        <f>C2^2</f>
        <v>4</v>
      </c>
      <c r="G2" s="6">
        <f>D2^2</f>
        <v>2500</v>
      </c>
      <c r="I2" t="s">
        <v>44</v>
      </c>
    </row>
    <row r="3" spans="1:14" ht="18" customHeight="1" thickBot="1" x14ac:dyDescent="0.25">
      <c r="A3" s="6">
        <v>2</v>
      </c>
      <c r="B3" s="6">
        <v>24.45</v>
      </c>
      <c r="C3" s="6">
        <v>8</v>
      </c>
      <c r="D3" s="6">
        <v>110</v>
      </c>
      <c r="E3" s="6">
        <f t="shared" ref="E3:E26" si="0">C3*D3</f>
        <v>880</v>
      </c>
      <c r="F3" s="6">
        <f t="shared" ref="F3:F26" si="1">C3^2</f>
        <v>64</v>
      </c>
      <c r="G3" s="6">
        <f t="shared" ref="G3:G26" si="2">D3^2</f>
        <v>12100</v>
      </c>
    </row>
    <row r="4" spans="1:14" ht="18" customHeight="1" x14ac:dyDescent="0.2">
      <c r="A4" s="6">
        <v>3</v>
      </c>
      <c r="B4" s="6">
        <v>31.75</v>
      </c>
      <c r="C4" s="6">
        <v>11</v>
      </c>
      <c r="D4" s="6">
        <v>120</v>
      </c>
      <c r="E4" s="6">
        <f t="shared" si="0"/>
        <v>1320</v>
      </c>
      <c r="F4" s="6">
        <f t="shared" si="1"/>
        <v>121</v>
      </c>
      <c r="G4" s="6">
        <f t="shared" si="2"/>
        <v>14400</v>
      </c>
      <c r="I4" s="35" t="s">
        <v>45</v>
      </c>
      <c r="J4" s="35"/>
    </row>
    <row r="5" spans="1:14" ht="18" customHeight="1" x14ac:dyDescent="0.2">
      <c r="A5" s="6">
        <v>4</v>
      </c>
      <c r="B5" s="6">
        <v>35</v>
      </c>
      <c r="C5" s="6">
        <v>10</v>
      </c>
      <c r="D5" s="6">
        <v>550</v>
      </c>
      <c r="E5" s="6">
        <f t="shared" si="0"/>
        <v>5500</v>
      </c>
      <c r="F5" s="6">
        <f t="shared" si="1"/>
        <v>100</v>
      </c>
      <c r="G5" s="6">
        <f t="shared" si="2"/>
        <v>302500</v>
      </c>
      <c r="I5" t="s">
        <v>46</v>
      </c>
      <c r="J5">
        <v>0.99562903793909374</v>
      </c>
    </row>
    <row r="6" spans="1:14" ht="18" customHeight="1" x14ac:dyDescent="0.2">
      <c r="A6" s="6">
        <v>5</v>
      </c>
      <c r="B6" s="6">
        <v>25.02</v>
      </c>
      <c r="C6" s="6">
        <v>8</v>
      </c>
      <c r="D6" s="6">
        <v>295</v>
      </c>
      <c r="E6" s="6">
        <f t="shared" si="0"/>
        <v>2360</v>
      </c>
      <c r="F6" s="6">
        <f t="shared" si="1"/>
        <v>64</v>
      </c>
      <c r="G6" s="6">
        <f t="shared" si="2"/>
        <v>87025</v>
      </c>
      <c r="I6" t="s">
        <v>47</v>
      </c>
      <c r="J6">
        <v>0.99127718118752528</v>
      </c>
    </row>
    <row r="7" spans="1:14" ht="18" customHeight="1" x14ac:dyDescent="0.2">
      <c r="A7" s="6">
        <v>6</v>
      </c>
      <c r="B7" s="6">
        <v>16.86</v>
      </c>
      <c r="C7" s="6">
        <v>4</v>
      </c>
      <c r="D7" s="6">
        <v>200</v>
      </c>
      <c r="E7" s="6">
        <f t="shared" si="0"/>
        <v>800</v>
      </c>
      <c r="F7" s="6">
        <f t="shared" si="1"/>
        <v>16</v>
      </c>
      <c r="G7" s="6">
        <f t="shared" si="2"/>
        <v>40000</v>
      </c>
      <c r="I7" t="s">
        <v>48</v>
      </c>
      <c r="J7">
        <v>0.9889817025526636</v>
      </c>
    </row>
    <row r="8" spans="1:14" ht="18" customHeight="1" x14ac:dyDescent="0.2">
      <c r="A8" s="6">
        <v>7</v>
      </c>
      <c r="B8" s="6">
        <v>14.38</v>
      </c>
      <c r="C8" s="6">
        <v>2</v>
      </c>
      <c r="D8" s="6">
        <v>375</v>
      </c>
      <c r="E8" s="6">
        <f t="shared" si="0"/>
        <v>750</v>
      </c>
      <c r="F8" s="6">
        <f t="shared" si="1"/>
        <v>4</v>
      </c>
      <c r="G8" s="6">
        <f t="shared" si="2"/>
        <v>140625</v>
      </c>
      <c r="I8" t="s">
        <v>49</v>
      </c>
      <c r="J8">
        <v>1.6742798818405129</v>
      </c>
    </row>
    <row r="9" spans="1:14" ht="18" customHeight="1" thickBot="1" x14ac:dyDescent="0.25">
      <c r="A9" s="6">
        <v>8</v>
      </c>
      <c r="B9" s="6">
        <v>9.6</v>
      </c>
      <c r="C9" s="6">
        <v>2</v>
      </c>
      <c r="D9" s="6">
        <v>52</v>
      </c>
      <c r="E9" s="6">
        <f t="shared" si="0"/>
        <v>104</v>
      </c>
      <c r="F9" s="6">
        <f t="shared" si="1"/>
        <v>4</v>
      </c>
      <c r="G9" s="6">
        <f t="shared" si="2"/>
        <v>2704</v>
      </c>
      <c r="I9" s="33" t="s">
        <v>50</v>
      </c>
      <c r="J9" s="33">
        <v>25</v>
      </c>
    </row>
    <row r="10" spans="1:14" ht="18" customHeight="1" x14ac:dyDescent="0.2">
      <c r="A10" s="6">
        <v>9</v>
      </c>
      <c r="B10" s="6">
        <v>24.35</v>
      </c>
      <c r="C10" s="6">
        <v>9</v>
      </c>
      <c r="D10" s="6">
        <v>100</v>
      </c>
      <c r="E10" s="6">
        <f t="shared" si="0"/>
        <v>900</v>
      </c>
      <c r="F10" s="6">
        <f t="shared" si="1"/>
        <v>81</v>
      </c>
      <c r="G10" s="6">
        <f t="shared" si="2"/>
        <v>10000</v>
      </c>
    </row>
    <row r="11" spans="1:14" ht="18" customHeight="1" thickBot="1" x14ac:dyDescent="0.25">
      <c r="A11" s="6">
        <v>10</v>
      </c>
      <c r="B11" s="6">
        <v>27.5</v>
      </c>
      <c r="C11" s="6">
        <v>8</v>
      </c>
      <c r="D11" s="6">
        <v>300</v>
      </c>
      <c r="E11" s="6">
        <f t="shared" si="0"/>
        <v>2400</v>
      </c>
      <c r="F11" s="6">
        <f t="shared" si="1"/>
        <v>64</v>
      </c>
      <c r="G11" s="6">
        <f t="shared" si="2"/>
        <v>90000</v>
      </c>
      <c r="I11" t="s">
        <v>51</v>
      </c>
    </row>
    <row r="12" spans="1:14" ht="18" customHeight="1" x14ac:dyDescent="0.2">
      <c r="A12" s="6">
        <v>11</v>
      </c>
      <c r="B12" s="6">
        <v>17.079999999999998</v>
      </c>
      <c r="C12" s="6">
        <v>4</v>
      </c>
      <c r="D12" s="6">
        <v>412</v>
      </c>
      <c r="E12" s="6">
        <f t="shared" si="0"/>
        <v>1648</v>
      </c>
      <c r="F12" s="6">
        <f t="shared" si="1"/>
        <v>16</v>
      </c>
      <c r="G12" s="6">
        <f t="shared" si="2"/>
        <v>169744</v>
      </c>
      <c r="I12" s="34"/>
      <c r="J12" s="34" t="s">
        <v>56</v>
      </c>
      <c r="K12" s="34" t="s">
        <v>57</v>
      </c>
      <c r="L12" s="34" t="s">
        <v>58</v>
      </c>
      <c r="M12" s="34" t="s">
        <v>59</v>
      </c>
      <c r="N12" s="34" t="s">
        <v>60</v>
      </c>
    </row>
    <row r="13" spans="1:14" ht="18" customHeight="1" x14ac:dyDescent="0.2">
      <c r="A13" s="6">
        <v>12</v>
      </c>
      <c r="B13" s="6">
        <v>37</v>
      </c>
      <c r="C13" s="6">
        <v>11</v>
      </c>
      <c r="D13" s="6">
        <v>400</v>
      </c>
      <c r="E13" s="6">
        <f t="shared" si="0"/>
        <v>4400</v>
      </c>
      <c r="F13" s="6">
        <f t="shared" si="1"/>
        <v>121</v>
      </c>
      <c r="G13" s="6">
        <f t="shared" si="2"/>
        <v>160000</v>
      </c>
      <c r="I13" t="s">
        <v>52</v>
      </c>
      <c r="J13">
        <v>5</v>
      </c>
      <c r="K13">
        <v>6052.6836546680197</v>
      </c>
      <c r="L13">
        <v>1210.5367309336038</v>
      </c>
      <c r="M13">
        <v>431.83899258867029</v>
      </c>
      <c r="N13">
        <v>7.14926629647784E-19</v>
      </c>
    </row>
    <row r="14" spans="1:14" ht="18" customHeight="1" x14ac:dyDescent="0.2">
      <c r="A14" s="6">
        <v>13</v>
      </c>
      <c r="B14" s="6">
        <v>41.95</v>
      </c>
      <c r="C14" s="6">
        <v>12</v>
      </c>
      <c r="D14" s="6">
        <v>500</v>
      </c>
      <c r="E14" s="6">
        <f t="shared" si="0"/>
        <v>6000</v>
      </c>
      <c r="F14" s="6">
        <f t="shared" si="1"/>
        <v>144</v>
      </c>
      <c r="G14" s="6">
        <f t="shared" si="2"/>
        <v>250000</v>
      </c>
      <c r="I14" t="s">
        <v>53</v>
      </c>
      <c r="J14">
        <v>19</v>
      </c>
      <c r="K14">
        <v>53.261049331981759</v>
      </c>
      <c r="L14">
        <v>2.8032131227358819</v>
      </c>
    </row>
    <row r="15" spans="1:14" ht="18" customHeight="1" thickBot="1" x14ac:dyDescent="0.25">
      <c r="A15" s="6">
        <v>14</v>
      </c>
      <c r="B15" s="6">
        <v>11.66</v>
      </c>
      <c r="C15" s="6">
        <v>2</v>
      </c>
      <c r="D15" s="6">
        <v>360</v>
      </c>
      <c r="E15" s="6">
        <f t="shared" si="0"/>
        <v>720</v>
      </c>
      <c r="F15" s="6">
        <f t="shared" si="1"/>
        <v>4</v>
      </c>
      <c r="G15" s="6">
        <f t="shared" si="2"/>
        <v>129600</v>
      </c>
      <c r="I15" s="33" t="s">
        <v>54</v>
      </c>
      <c r="J15" s="33">
        <v>24</v>
      </c>
      <c r="K15" s="33">
        <v>6105.9447040000014</v>
      </c>
      <c r="L15" s="33"/>
      <c r="M15" s="33"/>
      <c r="N15" s="33"/>
    </row>
    <row r="16" spans="1:14" ht="18" customHeight="1" thickBot="1" x14ac:dyDescent="0.25">
      <c r="A16" s="6">
        <v>15</v>
      </c>
      <c r="B16" s="6">
        <v>21.65</v>
      </c>
      <c r="C16" s="6">
        <v>4</v>
      </c>
      <c r="D16" s="6">
        <v>205</v>
      </c>
      <c r="E16" s="6">
        <f t="shared" si="0"/>
        <v>820</v>
      </c>
      <c r="F16" s="6">
        <f t="shared" si="1"/>
        <v>16</v>
      </c>
      <c r="G16" s="6">
        <f t="shared" si="2"/>
        <v>42025</v>
      </c>
    </row>
    <row r="17" spans="1:17" ht="18" customHeight="1" x14ac:dyDescent="0.2">
      <c r="A17" s="6">
        <v>16</v>
      </c>
      <c r="B17" s="6">
        <v>17.89</v>
      </c>
      <c r="C17" s="6">
        <v>4</v>
      </c>
      <c r="D17" s="6">
        <v>400</v>
      </c>
      <c r="E17" s="6">
        <f t="shared" si="0"/>
        <v>1600</v>
      </c>
      <c r="F17" s="6">
        <f t="shared" si="1"/>
        <v>16</v>
      </c>
      <c r="G17" s="6">
        <f t="shared" si="2"/>
        <v>160000</v>
      </c>
      <c r="I17" s="34"/>
      <c r="J17" s="34" t="s">
        <v>61</v>
      </c>
      <c r="K17" s="34" t="s">
        <v>49</v>
      </c>
      <c r="L17" s="34" t="s">
        <v>62</v>
      </c>
      <c r="M17" s="34" t="s">
        <v>63</v>
      </c>
      <c r="N17" s="34" t="s">
        <v>64</v>
      </c>
      <c r="O17" s="34" t="s">
        <v>65</v>
      </c>
      <c r="P17" s="34" t="s">
        <v>66</v>
      </c>
      <c r="Q17" s="34" t="s">
        <v>67</v>
      </c>
    </row>
    <row r="18" spans="1:17" ht="18" customHeight="1" x14ac:dyDescent="0.2">
      <c r="A18" s="6">
        <v>17</v>
      </c>
      <c r="B18" s="6">
        <v>69</v>
      </c>
      <c r="C18" s="6">
        <v>20</v>
      </c>
      <c r="D18" s="6">
        <v>600</v>
      </c>
      <c r="E18" s="6">
        <f t="shared" si="0"/>
        <v>12000</v>
      </c>
      <c r="F18" s="6">
        <f t="shared" si="1"/>
        <v>400</v>
      </c>
      <c r="G18" s="6">
        <f t="shared" si="2"/>
        <v>360000</v>
      </c>
      <c r="I18" t="s">
        <v>55</v>
      </c>
      <c r="J18">
        <v>6.4689423071250367</v>
      </c>
      <c r="K18">
        <v>1.4438373448994346</v>
      </c>
      <c r="L18">
        <v>4.4803816233023177</v>
      </c>
      <c r="M18" s="36">
        <v>2.5634893107229245E-4</v>
      </c>
      <c r="N18">
        <v>3.446956013597493</v>
      </c>
      <c r="O18">
        <v>9.4909286006525804</v>
      </c>
      <c r="P18">
        <v>3.446956013597493</v>
      </c>
      <c r="Q18">
        <v>9.4909286006525804</v>
      </c>
    </row>
    <row r="19" spans="1:17" ht="18" customHeight="1" x14ac:dyDescent="0.2">
      <c r="A19" s="6">
        <v>18</v>
      </c>
      <c r="B19" s="6">
        <v>10.3</v>
      </c>
      <c r="C19" s="6">
        <v>1</v>
      </c>
      <c r="D19" s="6">
        <v>585</v>
      </c>
      <c r="E19" s="6">
        <f t="shared" si="0"/>
        <v>585</v>
      </c>
      <c r="F19" s="6">
        <f t="shared" si="1"/>
        <v>1</v>
      </c>
      <c r="G19" s="6">
        <f t="shared" si="2"/>
        <v>342225</v>
      </c>
      <c r="I19" t="s">
        <v>21</v>
      </c>
      <c r="J19">
        <v>1.6561823463141032</v>
      </c>
      <c r="K19">
        <v>0.26995121453257653</v>
      </c>
      <c r="L19">
        <v>6.1351172254653532</v>
      </c>
      <c r="M19" s="36">
        <v>6.7480108827226469E-6</v>
      </c>
      <c r="N19">
        <v>1.0911679607806826</v>
      </c>
      <c r="O19">
        <v>2.2211967318475239</v>
      </c>
      <c r="P19">
        <v>1.0911679607806826</v>
      </c>
      <c r="Q19">
        <v>2.2211967318475239</v>
      </c>
    </row>
    <row r="20" spans="1:17" ht="18" customHeight="1" x14ac:dyDescent="0.2">
      <c r="A20" s="6">
        <v>19</v>
      </c>
      <c r="B20" s="6">
        <v>34.93</v>
      </c>
      <c r="C20" s="6">
        <v>10</v>
      </c>
      <c r="D20" s="6">
        <v>540</v>
      </c>
      <c r="E20" s="6">
        <f t="shared" si="0"/>
        <v>5400</v>
      </c>
      <c r="F20" s="6">
        <f t="shared" si="1"/>
        <v>100</v>
      </c>
      <c r="G20" s="6">
        <f t="shared" si="2"/>
        <v>291600</v>
      </c>
      <c r="I20" t="s">
        <v>22</v>
      </c>
      <c r="J20">
        <v>1.6656793552665167E-2</v>
      </c>
      <c r="K20">
        <v>8.7005979804351159E-3</v>
      </c>
      <c r="L20">
        <v>1.9144423854683332</v>
      </c>
      <c r="M20">
        <v>7.0745393855091501E-2</v>
      </c>
      <c r="N20">
        <v>-1.5537673081218904E-3</v>
      </c>
      <c r="O20">
        <v>3.4867354413452227E-2</v>
      </c>
      <c r="P20">
        <v>-1.5537673081218904E-3</v>
      </c>
      <c r="Q20">
        <v>3.4867354413452227E-2</v>
      </c>
    </row>
    <row r="21" spans="1:17" ht="18" customHeight="1" x14ac:dyDescent="0.2">
      <c r="A21" s="6">
        <v>20</v>
      </c>
      <c r="B21" s="6">
        <v>46.59</v>
      </c>
      <c r="C21" s="6">
        <v>15</v>
      </c>
      <c r="D21" s="6">
        <v>250</v>
      </c>
      <c r="E21" s="6">
        <f t="shared" si="0"/>
        <v>3750</v>
      </c>
      <c r="F21" s="6">
        <f t="shared" si="1"/>
        <v>225</v>
      </c>
      <c r="G21" s="6">
        <f t="shared" si="2"/>
        <v>62500</v>
      </c>
      <c r="I21" t="s">
        <v>75</v>
      </c>
      <c r="J21">
        <v>1.4819170125077801E-3</v>
      </c>
      <c r="K21">
        <v>4.6289331564659396E-4</v>
      </c>
      <c r="L21">
        <v>3.2014223632453187</v>
      </c>
      <c r="M21" s="36">
        <v>4.6991809442873227E-3</v>
      </c>
      <c r="N21">
        <v>5.1307016823464054E-4</v>
      </c>
      <c r="O21">
        <v>2.4507638567809195E-3</v>
      </c>
      <c r="P21">
        <v>5.1307016823464054E-4</v>
      </c>
      <c r="Q21">
        <v>2.4507638567809195E-3</v>
      </c>
    </row>
    <row r="22" spans="1:17" ht="18" customHeight="1" x14ac:dyDescent="0.2">
      <c r="A22" s="6">
        <v>21</v>
      </c>
      <c r="B22" s="6">
        <v>44.88</v>
      </c>
      <c r="C22" s="6">
        <v>15</v>
      </c>
      <c r="D22" s="6">
        <v>290</v>
      </c>
      <c r="E22" s="6">
        <f t="shared" si="0"/>
        <v>4350</v>
      </c>
      <c r="F22" s="6">
        <f t="shared" si="1"/>
        <v>225</v>
      </c>
      <c r="G22" s="6">
        <f t="shared" si="2"/>
        <v>84100</v>
      </c>
      <c r="I22" t="s">
        <v>76</v>
      </c>
      <c r="J22">
        <v>2.6602917254962329E-2</v>
      </c>
      <c r="K22">
        <v>1.5046140782673459E-2</v>
      </c>
      <c r="L22">
        <v>1.768089082723272</v>
      </c>
      <c r="M22">
        <v>9.310074464953326E-2</v>
      </c>
      <c r="N22">
        <v>-4.8890173291870898E-3</v>
      </c>
      <c r="O22">
        <v>5.8094851839111748E-2</v>
      </c>
      <c r="P22">
        <v>-4.8890173291870898E-3</v>
      </c>
      <c r="Q22">
        <v>5.8094851839111748E-2</v>
      </c>
    </row>
    <row r="23" spans="1:17" ht="18" customHeight="1" thickBot="1" x14ac:dyDescent="0.25">
      <c r="A23" s="6">
        <v>22</v>
      </c>
      <c r="B23" s="6">
        <v>54.12</v>
      </c>
      <c r="C23" s="6">
        <v>16</v>
      </c>
      <c r="D23" s="6">
        <v>510</v>
      </c>
      <c r="E23" s="6">
        <f t="shared" si="0"/>
        <v>8160</v>
      </c>
      <c r="F23" s="6">
        <f t="shared" si="1"/>
        <v>256</v>
      </c>
      <c r="G23" s="6">
        <f t="shared" si="2"/>
        <v>260100</v>
      </c>
      <c r="I23" s="33" t="s">
        <v>77</v>
      </c>
      <c r="J23" s="33">
        <v>-2.6427826384895047E-5</v>
      </c>
      <c r="K23" s="33">
        <v>1.4783327801407784E-5</v>
      </c>
      <c r="L23" s="33">
        <v>-1.7876777637561674</v>
      </c>
      <c r="M23" s="33">
        <v>8.9790081958400783E-2</v>
      </c>
      <c r="N23" s="33">
        <v>-5.7369687077444648E-5</v>
      </c>
      <c r="O23" s="33">
        <v>4.5140343076545544E-6</v>
      </c>
      <c r="P23" s="33">
        <v>-5.7369687077444648E-5</v>
      </c>
      <c r="Q23" s="33">
        <v>4.5140343076545544E-6</v>
      </c>
    </row>
    <row r="24" spans="1:17" ht="18" customHeight="1" x14ac:dyDescent="0.2">
      <c r="A24" s="6">
        <v>23</v>
      </c>
      <c r="B24" s="6">
        <v>56.63</v>
      </c>
      <c r="C24" s="6">
        <v>17</v>
      </c>
      <c r="D24" s="6">
        <v>590</v>
      </c>
      <c r="E24" s="6">
        <f t="shared" si="0"/>
        <v>10030</v>
      </c>
      <c r="F24" s="6">
        <f t="shared" si="1"/>
        <v>289</v>
      </c>
      <c r="G24" s="6">
        <f t="shared" si="2"/>
        <v>348100</v>
      </c>
    </row>
    <row r="25" spans="1:17" ht="18" customHeight="1" x14ac:dyDescent="0.2">
      <c r="A25" s="6">
        <v>24</v>
      </c>
      <c r="B25" s="6">
        <v>22.13</v>
      </c>
      <c r="C25" s="6">
        <v>6</v>
      </c>
      <c r="D25" s="6">
        <v>100</v>
      </c>
      <c r="E25" s="6">
        <f t="shared" si="0"/>
        <v>600</v>
      </c>
      <c r="F25" s="6">
        <f t="shared" si="1"/>
        <v>36</v>
      </c>
      <c r="G25" s="6">
        <f t="shared" si="2"/>
        <v>10000</v>
      </c>
      <c r="I25" t="s">
        <v>78</v>
      </c>
      <c r="O25" t="s">
        <v>79</v>
      </c>
      <c r="Q25" t="s">
        <v>81</v>
      </c>
    </row>
    <row r="26" spans="1:17" ht="18" customHeight="1" x14ac:dyDescent="0.2">
      <c r="A26" s="6">
        <v>25</v>
      </c>
      <c r="B26" s="6">
        <v>21.15</v>
      </c>
      <c r="C26" s="6">
        <v>5</v>
      </c>
      <c r="D26" s="6">
        <v>400</v>
      </c>
      <c r="E26" s="6">
        <f t="shared" si="0"/>
        <v>2000</v>
      </c>
      <c r="F26" s="6">
        <f t="shared" si="1"/>
        <v>25</v>
      </c>
      <c r="G26" s="6">
        <f t="shared" si="2"/>
        <v>160000</v>
      </c>
      <c r="I26" t="s">
        <v>82</v>
      </c>
      <c r="O26" t="s">
        <v>80</v>
      </c>
    </row>
    <row r="27" spans="1:17" ht="18" customHeight="1" x14ac:dyDescent="0.2">
      <c r="I27" t="s">
        <v>68</v>
      </c>
      <c r="N27" t="s">
        <v>73</v>
      </c>
    </row>
    <row r="28" spans="1:17" ht="18" customHeight="1" thickBot="1" x14ac:dyDescent="0.25"/>
    <row r="29" spans="1:17" ht="18" customHeight="1" x14ac:dyDescent="0.2">
      <c r="I29" s="34" t="s">
        <v>69</v>
      </c>
      <c r="J29" s="34" t="s">
        <v>70</v>
      </c>
      <c r="K29" s="34" t="s">
        <v>71</v>
      </c>
      <c r="L29" s="34" t="s">
        <v>72</v>
      </c>
      <c r="N29" s="34" t="s">
        <v>74</v>
      </c>
      <c r="O29" s="34" t="s">
        <v>20</v>
      </c>
    </row>
    <row r="30" spans="1:17" ht="18" customHeight="1" x14ac:dyDescent="0.2">
      <c r="I30">
        <v>1</v>
      </c>
      <c r="J30">
        <v>10.802680481694889</v>
      </c>
      <c r="K30">
        <v>-0.85268048169488964</v>
      </c>
      <c r="L30">
        <v>-0.57238347038382509</v>
      </c>
      <c r="N30">
        <v>2</v>
      </c>
      <c r="O30">
        <v>9.6</v>
      </c>
    </row>
    <row r="31" spans="1:17" ht="18" customHeight="1" x14ac:dyDescent="0.2">
      <c r="I31">
        <v>2</v>
      </c>
      <c r="J31">
        <v>24.23754534449824</v>
      </c>
      <c r="K31">
        <v>0.21245465550175879</v>
      </c>
      <c r="L31">
        <v>0.14261559356158712</v>
      </c>
      <c r="N31">
        <v>6</v>
      </c>
      <c r="O31">
        <v>9.9499999999999993</v>
      </c>
    </row>
    <row r="32" spans="1:17" ht="18" customHeight="1" x14ac:dyDescent="0.2">
      <c r="I32">
        <v>3</v>
      </c>
      <c r="J32">
        <v>31.480286087318216</v>
      </c>
      <c r="K32">
        <v>0.2697139126817838</v>
      </c>
      <c r="L32">
        <v>0.18105232694518308</v>
      </c>
      <c r="N32">
        <v>10</v>
      </c>
      <c r="O32">
        <v>10.3</v>
      </c>
    </row>
    <row r="33" spans="9:15" ht="18" customHeight="1" x14ac:dyDescent="0.2">
      <c r="I33">
        <v>4</v>
      </c>
      <c r="J33">
        <v>35.00842003709019</v>
      </c>
      <c r="K33">
        <v>-8.4200370901896804E-3</v>
      </c>
      <c r="L33">
        <v>-5.6521641504722834E-3</v>
      </c>
      <c r="N33">
        <v>14</v>
      </c>
      <c r="O33">
        <v>11.66</v>
      </c>
    </row>
    <row r="34" spans="9:15" ht="18" customHeight="1" x14ac:dyDescent="0.2">
      <c r="I34">
        <v>5</v>
      </c>
      <c r="J34">
        <v>27.532184438364546</v>
      </c>
      <c r="K34">
        <v>-2.512184438364546</v>
      </c>
      <c r="L34">
        <v>-1.686367728527258</v>
      </c>
      <c r="N34">
        <v>18</v>
      </c>
      <c r="O34">
        <v>14.38</v>
      </c>
    </row>
    <row r="35" spans="9:15" ht="18" customHeight="1" x14ac:dyDescent="0.2">
      <c r="I35">
        <v>6</v>
      </c>
      <c r="J35">
        <v>16.979097633604301</v>
      </c>
      <c r="K35">
        <v>-0.11909763360430148</v>
      </c>
      <c r="L35">
        <v>-7.9947317078760224E-2</v>
      </c>
      <c r="N35">
        <v>22</v>
      </c>
      <c r="O35">
        <v>16.86</v>
      </c>
    </row>
    <row r="36" spans="9:15" ht="18" customHeight="1" x14ac:dyDescent="0.2">
      <c r="I36">
        <v>7</v>
      </c>
      <c r="J36">
        <v>13.529040925027498</v>
      </c>
      <c r="K36">
        <v>0.85095907497250245</v>
      </c>
      <c r="L36">
        <v>0.5712279323190349</v>
      </c>
      <c r="N36">
        <v>26</v>
      </c>
      <c r="O36">
        <v>17.079999999999998</v>
      </c>
    </row>
    <row r="37" spans="9:15" ht="18" customHeight="1" x14ac:dyDescent="0.2">
      <c r="I37">
        <v>8</v>
      </c>
      <c r="J37">
        <v>10.836530460267733</v>
      </c>
      <c r="K37">
        <v>-1.2365304602677334</v>
      </c>
      <c r="L37">
        <v>-0.83005253582972405</v>
      </c>
      <c r="N37">
        <v>30</v>
      </c>
      <c r="O37">
        <v>17.89</v>
      </c>
    </row>
    <row r="38" spans="9:15" ht="18" customHeight="1" x14ac:dyDescent="0.2">
      <c r="I38">
        <v>9</v>
      </c>
      <c r="J38">
        <v>26.264546124278478</v>
      </c>
      <c r="K38">
        <v>-1.9145461242784769</v>
      </c>
      <c r="L38">
        <v>-1.2851878028756623</v>
      </c>
      <c r="N38">
        <v>34</v>
      </c>
      <c r="O38">
        <v>21.15</v>
      </c>
    </row>
    <row r="39" spans="9:15" ht="18" customHeight="1" x14ac:dyDescent="0.2">
      <c r="I39">
        <v>10</v>
      </c>
      <c r="J39">
        <v>27.596122303133125</v>
      </c>
      <c r="K39">
        <v>-9.6122303133125087E-2</v>
      </c>
      <c r="L39">
        <v>-6.4524541876767455E-2</v>
      </c>
      <c r="N39">
        <v>38</v>
      </c>
      <c r="O39">
        <v>21.65</v>
      </c>
    </row>
    <row r="40" spans="9:15" ht="18" customHeight="1" x14ac:dyDescent="0.2">
      <c r="I40">
        <v>11</v>
      </c>
      <c r="J40">
        <v>18.338151586894092</v>
      </c>
      <c r="K40">
        <v>-1.258151586894094</v>
      </c>
      <c r="L40">
        <v>-0.84456626724222827</v>
      </c>
      <c r="N40">
        <v>42</v>
      </c>
      <c r="O40">
        <v>22.13</v>
      </c>
    </row>
    <row r="41" spans="9:15" ht="18" customHeight="1" x14ac:dyDescent="0.2">
      <c r="I41">
        <v>12</v>
      </c>
      <c r="J41">
        <v>36.860601158947709</v>
      </c>
      <c r="K41">
        <v>0.13939884105229083</v>
      </c>
      <c r="L41">
        <v>9.3575019156524039E-2</v>
      </c>
      <c r="N41">
        <v>46</v>
      </c>
      <c r="O41">
        <v>24.35</v>
      </c>
    </row>
    <row r="42" spans="9:15" ht="18" customHeight="1" x14ac:dyDescent="0.2">
      <c r="I42">
        <v>13</v>
      </c>
      <c r="J42">
        <v>40.786892802764356</v>
      </c>
      <c r="K42">
        <v>1.1631071972356466</v>
      </c>
      <c r="L42">
        <v>0.78076530221359408</v>
      </c>
      <c r="N42">
        <v>50</v>
      </c>
      <c r="O42">
        <v>24.45</v>
      </c>
    </row>
    <row r="43" spans="9:15" ht="18" customHeight="1" x14ac:dyDescent="0.2">
      <c r="I43">
        <v>14</v>
      </c>
      <c r="J43">
        <v>13.526098297255755</v>
      </c>
      <c r="K43">
        <v>-1.8660982972557552</v>
      </c>
      <c r="L43">
        <v>-1.2526659661981066</v>
      </c>
      <c r="N43">
        <v>54</v>
      </c>
      <c r="O43">
        <v>25.02</v>
      </c>
    </row>
    <row r="44" spans="9:15" ht="18" customHeight="1" x14ac:dyDescent="0.2">
      <c r="I44">
        <v>15</v>
      </c>
      <c r="J44">
        <v>17.03850359318837</v>
      </c>
      <c r="K44">
        <v>4.6114964068116286</v>
      </c>
      <c r="L44">
        <v>3.0955843057961236</v>
      </c>
      <c r="N44">
        <v>58</v>
      </c>
      <c r="O44">
        <v>27.5</v>
      </c>
    </row>
    <row r="45" spans="9:15" ht="18" customHeight="1" x14ac:dyDescent="0.2">
      <c r="I45">
        <v>16</v>
      </c>
      <c r="J45">
        <v>18.324650787956152</v>
      </c>
      <c r="K45">
        <v>-0.43465078795615142</v>
      </c>
      <c r="L45">
        <v>-0.29177040140626576</v>
      </c>
      <c r="N45">
        <v>62</v>
      </c>
      <c r="O45">
        <v>31.75</v>
      </c>
    </row>
    <row r="46" spans="9:15" ht="18" customHeight="1" x14ac:dyDescent="0.2">
      <c r="I46">
        <v>17</v>
      </c>
      <c r="J46">
        <v>68.49681891852228</v>
      </c>
      <c r="K46">
        <v>0.50318108147772023</v>
      </c>
      <c r="L46">
        <v>0.3377731047334584</v>
      </c>
      <c r="N46">
        <v>66</v>
      </c>
      <c r="O46">
        <v>34.93</v>
      </c>
    </row>
    <row r="47" spans="9:15" ht="18" customHeight="1" x14ac:dyDescent="0.2">
      <c r="I47">
        <v>18</v>
      </c>
      <c r="J47">
        <v>9.7186103667495676</v>
      </c>
      <c r="K47">
        <v>0.58138963325043314</v>
      </c>
      <c r="L47">
        <v>0.39027258518172392</v>
      </c>
      <c r="N47">
        <v>70</v>
      </c>
      <c r="O47">
        <v>35</v>
      </c>
    </row>
    <row r="48" spans="9:15" ht="18" customHeight="1" x14ac:dyDescent="0.2">
      <c r="I48">
        <v>19</v>
      </c>
      <c r="J48">
        <v>34.98172370790811</v>
      </c>
      <c r="K48">
        <v>-5.1723707908109873E-2</v>
      </c>
      <c r="L48">
        <v>-3.4720855078933209E-2</v>
      </c>
      <c r="N48">
        <v>74</v>
      </c>
      <c r="O48">
        <v>37</v>
      </c>
    </row>
    <row r="49" spans="9:15" ht="18" customHeight="1" x14ac:dyDescent="0.2">
      <c r="I49">
        <v>20</v>
      </c>
      <c r="J49">
        <v>45.366981920217633</v>
      </c>
      <c r="K49">
        <v>1.2230180797823706</v>
      </c>
      <c r="L49">
        <v>0.82098200659703291</v>
      </c>
      <c r="N49">
        <v>78</v>
      </c>
      <c r="O49">
        <v>41.95</v>
      </c>
    </row>
    <row r="50" spans="9:15" ht="18" customHeight="1" x14ac:dyDescent="0.2">
      <c r="I50">
        <v>21</v>
      </c>
      <c r="J50">
        <v>46.351562819915173</v>
      </c>
      <c r="K50">
        <v>-1.4715628199151709</v>
      </c>
      <c r="L50">
        <v>-0.98782398780443603</v>
      </c>
      <c r="N50">
        <v>82</v>
      </c>
      <c r="O50">
        <v>44.88</v>
      </c>
    </row>
    <row r="51" spans="9:15" ht="18" customHeight="1" x14ac:dyDescent="0.2">
      <c r="I51">
        <v>22</v>
      </c>
      <c r="J51">
        <v>53.49173655663256</v>
      </c>
      <c r="K51">
        <v>0.62826344336743745</v>
      </c>
      <c r="L51">
        <v>0.42173782295936518</v>
      </c>
      <c r="N51">
        <v>86</v>
      </c>
      <c r="O51">
        <v>46.59</v>
      </c>
    </row>
    <row r="52" spans="9:15" ht="18" customHeight="1" x14ac:dyDescent="0.2">
      <c r="I52">
        <v>23</v>
      </c>
      <c r="J52">
        <v>57.803894748092425</v>
      </c>
      <c r="K52">
        <v>-1.1738947480924224</v>
      </c>
      <c r="L52">
        <v>-0.78800672022291685</v>
      </c>
      <c r="N52">
        <v>90</v>
      </c>
      <c r="O52">
        <v>54.12</v>
      </c>
    </row>
    <row r="53" spans="9:15" ht="18" customHeight="1" x14ac:dyDescent="0.2">
      <c r="I53">
        <v>24</v>
      </c>
      <c r="J53">
        <v>19.654292705110532</v>
      </c>
      <c r="K53">
        <v>2.4757072948894674</v>
      </c>
      <c r="L53">
        <v>1.6618815177834014</v>
      </c>
      <c r="N53">
        <v>94</v>
      </c>
      <c r="O53">
        <v>56.63</v>
      </c>
    </row>
    <row r="54" spans="9:15" ht="18" customHeight="1" thickBot="1" x14ac:dyDescent="0.25">
      <c r="I54" s="33">
        <v>25</v>
      </c>
      <c r="J54" s="33">
        <v>20.813026194568032</v>
      </c>
      <c r="K54" s="33">
        <v>0.33697380543196687</v>
      </c>
      <c r="L54" s="33">
        <v>0.22620224142835449</v>
      </c>
      <c r="N54" s="33">
        <v>98</v>
      </c>
      <c r="O54" s="33">
        <v>69</v>
      </c>
    </row>
    <row r="57" spans="9:15" ht="18" customHeight="1" thickBot="1" x14ac:dyDescent="0.25">
      <c r="I57" s="33"/>
      <c r="J57" s="33"/>
      <c r="K57" s="33"/>
      <c r="L57" s="33"/>
      <c r="N57" s="33"/>
      <c r="O57" s="33"/>
    </row>
  </sheetData>
  <sortState xmlns:xlrd2="http://schemas.microsoft.com/office/spreadsheetml/2017/richdata2" ref="O30:O54">
    <sortCondition ref="O30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EAFDF-BF18-8243-8448-10266C599980}">
  <dimension ref="A1:Q57"/>
  <sheetViews>
    <sheetView tabSelected="1" topLeftCell="G1" zoomScale="150" zoomScaleNormal="50" workbookViewId="0">
      <selection activeCell="J26" sqref="J26"/>
    </sheetView>
  </sheetViews>
  <sheetFormatPr baseColWidth="10" defaultColWidth="8.83203125" defaultRowHeight="18" customHeight="1" x14ac:dyDescent="0.2"/>
  <cols>
    <col min="1" max="7" width="20.6640625" style="1" customWidth="1"/>
    <col min="9" max="9" width="9.1640625" bestFit="1" customWidth="1"/>
    <col min="10" max="10" width="12.5" bestFit="1" customWidth="1"/>
    <col min="11" max="11" width="11.83203125" bestFit="1" customWidth="1"/>
    <col min="12" max="12" width="9.5" bestFit="1" customWidth="1"/>
    <col min="13" max="13" width="9.33203125" bestFit="1" customWidth="1"/>
    <col min="14" max="14" width="13.83203125" bestFit="1" customWidth="1"/>
    <col min="15" max="15" width="9.1640625" bestFit="1" customWidth="1"/>
    <col min="16" max="16" width="12.33203125" bestFit="1" customWidth="1"/>
    <col min="17" max="17" width="11.83203125" bestFit="1" customWidth="1"/>
  </cols>
  <sheetData>
    <row r="1" spans="1:14" ht="18" customHeight="1" x14ac:dyDescent="0.2">
      <c r="A1" s="22" t="s">
        <v>0</v>
      </c>
      <c r="B1" s="22" t="s">
        <v>20</v>
      </c>
      <c r="C1" s="22" t="s">
        <v>21</v>
      </c>
      <c r="D1" s="22" t="s">
        <v>22</v>
      </c>
      <c r="E1" s="22" t="s">
        <v>75</v>
      </c>
      <c r="F1" s="22" t="s">
        <v>76</v>
      </c>
      <c r="G1" s="22" t="s">
        <v>77</v>
      </c>
    </row>
    <row r="2" spans="1:14" ht="18" customHeight="1" x14ac:dyDescent="0.2">
      <c r="A2" s="6">
        <v>1</v>
      </c>
      <c r="B2" s="6">
        <v>9.9499999999999993</v>
      </c>
      <c r="C2" s="6">
        <v>2</v>
      </c>
      <c r="D2" s="6">
        <v>50</v>
      </c>
      <c r="E2" s="6">
        <f>C2*D2</f>
        <v>100</v>
      </c>
      <c r="F2" s="6">
        <f>C2^2</f>
        <v>4</v>
      </c>
      <c r="G2" s="6">
        <f>D2^2</f>
        <v>2500</v>
      </c>
      <c r="I2" t="s">
        <v>44</v>
      </c>
    </row>
    <row r="3" spans="1:14" ht="18" customHeight="1" thickBot="1" x14ac:dyDescent="0.25">
      <c r="A3" s="6">
        <v>2</v>
      </c>
      <c r="B3" s="6">
        <v>24.45</v>
      </c>
      <c r="C3" s="6">
        <v>8</v>
      </c>
      <c r="D3" s="6">
        <v>110</v>
      </c>
      <c r="E3" s="6">
        <f t="shared" ref="E3:E26" si="0">C3*D3</f>
        <v>880</v>
      </c>
      <c r="F3" s="6">
        <f t="shared" ref="F3:G26" si="1">C3^2</f>
        <v>64</v>
      </c>
      <c r="G3" s="6">
        <f t="shared" si="1"/>
        <v>12100</v>
      </c>
    </row>
    <row r="4" spans="1:14" ht="18" customHeight="1" x14ac:dyDescent="0.2">
      <c r="A4" s="6">
        <v>3</v>
      </c>
      <c r="B4" s="6">
        <v>31.75</v>
      </c>
      <c r="C4" s="6">
        <v>11</v>
      </c>
      <c r="D4" s="6">
        <v>120</v>
      </c>
      <c r="E4" s="6">
        <f t="shared" si="0"/>
        <v>1320</v>
      </c>
      <c r="F4" s="6">
        <f t="shared" si="1"/>
        <v>121</v>
      </c>
      <c r="G4" s="6">
        <f t="shared" si="1"/>
        <v>14400</v>
      </c>
      <c r="I4" s="40" t="s">
        <v>45</v>
      </c>
      <c r="J4" s="40"/>
    </row>
    <row r="5" spans="1:14" ht="18" customHeight="1" x14ac:dyDescent="0.2">
      <c r="A5" s="6">
        <v>4</v>
      </c>
      <c r="B5" s="6">
        <v>35</v>
      </c>
      <c r="C5" s="6">
        <v>10</v>
      </c>
      <c r="D5" s="6">
        <v>550</v>
      </c>
      <c r="E5" s="6">
        <f t="shared" si="0"/>
        <v>5500</v>
      </c>
      <c r="F5" s="6">
        <f t="shared" si="1"/>
        <v>100</v>
      </c>
      <c r="G5" s="6">
        <f t="shared" si="1"/>
        <v>302500</v>
      </c>
      <c r="I5" s="37" t="s">
        <v>46</v>
      </c>
      <c r="J5" s="37">
        <v>0.99562903793909374</v>
      </c>
    </row>
    <row r="6" spans="1:14" ht="18" customHeight="1" x14ac:dyDescent="0.2">
      <c r="A6" s="6">
        <v>5</v>
      </c>
      <c r="B6" s="6">
        <v>25.02</v>
      </c>
      <c r="C6" s="6">
        <v>8</v>
      </c>
      <c r="D6" s="6">
        <v>295</v>
      </c>
      <c r="E6" s="6">
        <f t="shared" si="0"/>
        <v>2360</v>
      </c>
      <c r="F6" s="6">
        <f t="shared" si="1"/>
        <v>64</v>
      </c>
      <c r="G6" s="6">
        <f t="shared" si="1"/>
        <v>87025</v>
      </c>
      <c r="I6" s="37" t="s">
        <v>47</v>
      </c>
      <c r="J6" s="37">
        <v>0.99127718118752528</v>
      </c>
    </row>
    <row r="7" spans="1:14" ht="18" customHeight="1" x14ac:dyDescent="0.2">
      <c r="A7" s="6">
        <v>6</v>
      </c>
      <c r="B7" s="6">
        <v>16.86</v>
      </c>
      <c r="C7" s="6">
        <v>4</v>
      </c>
      <c r="D7" s="6">
        <v>200</v>
      </c>
      <c r="E7" s="6">
        <f t="shared" si="0"/>
        <v>800</v>
      </c>
      <c r="F7" s="6">
        <f t="shared" si="1"/>
        <v>16</v>
      </c>
      <c r="G7" s="6">
        <f t="shared" si="1"/>
        <v>40000</v>
      </c>
      <c r="I7" s="37" t="s">
        <v>48</v>
      </c>
      <c r="J7" s="37">
        <v>0.9889817025526636</v>
      </c>
    </row>
    <row r="8" spans="1:14" ht="18" customHeight="1" x14ac:dyDescent="0.2">
      <c r="A8" s="6">
        <v>7</v>
      </c>
      <c r="B8" s="6">
        <v>14.38</v>
      </c>
      <c r="C8" s="6">
        <v>2</v>
      </c>
      <c r="D8" s="6">
        <v>375</v>
      </c>
      <c r="E8" s="6">
        <f t="shared" si="0"/>
        <v>750</v>
      </c>
      <c r="F8" s="6">
        <f t="shared" si="1"/>
        <v>4</v>
      </c>
      <c r="G8" s="6">
        <f t="shared" si="1"/>
        <v>140625</v>
      </c>
      <c r="I8" s="37" t="s">
        <v>49</v>
      </c>
      <c r="J8" s="37">
        <v>1.6742798818405129</v>
      </c>
    </row>
    <row r="9" spans="1:14" ht="18" customHeight="1" thickBot="1" x14ac:dyDescent="0.25">
      <c r="A9" s="6">
        <v>8</v>
      </c>
      <c r="B9" s="6">
        <v>9.6</v>
      </c>
      <c r="C9" s="6">
        <v>2</v>
      </c>
      <c r="D9" s="6">
        <v>52</v>
      </c>
      <c r="E9" s="6">
        <f t="shared" si="0"/>
        <v>104</v>
      </c>
      <c r="F9" s="6">
        <f t="shared" si="1"/>
        <v>4</v>
      </c>
      <c r="G9" s="6">
        <f t="shared" si="1"/>
        <v>2704</v>
      </c>
      <c r="I9" s="38" t="s">
        <v>50</v>
      </c>
      <c r="J9" s="38">
        <v>25</v>
      </c>
    </row>
    <row r="10" spans="1:14" ht="18" customHeight="1" x14ac:dyDescent="0.2">
      <c r="A10" s="6">
        <v>9</v>
      </c>
      <c r="B10" s="6">
        <v>24.35</v>
      </c>
      <c r="C10" s="6">
        <v>9</v>
      </c>
      <c r="D10" s="6">
        <v>100</v>
      </c>
      <c r="E10" s="6">
        <f t="shared" si="0"/>
        <v>900</v>
      </c>
      <c r="F10" s="6">
        <f t="shared" si="1"/>
        <v>81</v>
      </c>
      <c r="G10" s="6">
        <f t="shared" si="1"/>
        <v>10000</v>
      </c>
    </row>
    <row r="11" spans="1:14" ht="18" customHeight="1" thickBot="1" x14ac:dyDescent="0.25">
      <c r="A11" s="6">
        <v>10</v>
      </c>
      <c r="B11" s="6">
        <v>27.5</v>
      </c>
      <c r="C11" s="6">
        <v>8</v>
      </c>
      <c r="D11" s="6">
        <v>300</v>
      </c>
      <c r="E11" s="6">
        <f t="shared" si="0"/>
        <v>2400</v>
      </c>
      <c r="F11" s="6">
        <f t="shared" si="1"/>
        <v>64</v>
      </c>
      <c r="G11" s="6">
        <f t="shared" si="1"/>
        <v>90000</v>
      </c>
      <c r="I11" t="s">
        <v>51</v>
      </c>
    </row>
    <row r="12" spans="1:14" ht="18" customHeight="1" x14ac:dyDescent="0.2">
      <c r="A12" s="6">
        <v>11</v>
      </c>
      <c r="B12" s="6">
        <v>17.079999999999998</v>
      </c>
      <c r="C12" s="6">
        <v>4</v>
      </c>
      <c r="D12" s="6">
        <v>412</v>
      </c>
      <c r="E12" s="6">
        <f t="shared" si="0"/>
        <v>1648</v>
      </c>
      <c r="F12" s="6">
        <f t="shared" si="1"/>
        <v>16</v>
      </c>
      <c r="G12" s="6">
        <f t="shared" si="1"/>
        <v>169744</v>
      </c>
      <c r="I12" s="39"/>
      <c r="J12" s="39" t="s">
        <v>56</v>
      </c>
      <c r="K12" s="39" t="s">
        <v>57</v>
      </c>
      <c r="L12" s="39" t="s">
        <v>58</v>
      </c>
      <c r="M12" s="39" t="s">
        <v>59</v>
      </c>
      <c r="N12" s="39" t="s">
        <v>60</v>
      </c>
    </row>
    <row r="13" spans="1:14" ht="18" customHeight="1" x14ac:dyDescent="0.2">
      <c r="A13" s="6">
        <v>12</v>
      </c>
      <c r="B13" s="6">
        <v>37</v>
      </c>
      <c r="C13" s="6">
        <v>11</v>
      </c>
      <c r="D13" s="6">
        <v>400</v>
      </c>
      <c r="E13" s="6">
        <f t="shared" si="0"/>
        <v>4400</v>
      </c>
      <c r="F13" s="6">
        <f t="shared" si="1"/>
        <v>121</v>
      </c>
      <c r="G13" s="6">
        <f t="shared" si="1"/>
        <v>160000</v>
      </c>
      <c r="I13" s="37" t="s">
        <v>52</v>
      </c>
      <c r="J13" s="37">
        <v>5</v>
      </c>
      <c r="K13" s="37">
        <v>6052.6836546680197</v>
      </c>
      <c r="L13" s="37">
        <v>1210.5367309336038</v>
      </c>
      <c r="M13" s="37">
        <v>431.83899258867029</v>
      </c>
      <c r="N13" s="37">
        <v>7.14926629647784E-19</v>
      </c>
    </row>
    <row r="14" spans="1:14" ht="18" customHeight="1" x14ac:dyDescent="0.2">
      <c r="A14" s="6">
        <v>13</v>
      </c>
      <c r="B14" s="6">
        <v>41.95</v>
      </c>
      <c r="C14" s="6">
        <v>12</v>
      </c>
      <c r="D14" s="6">
        <v>500</v>
      </c>
      <c r="E14" s="6">
        <f t="shared" si="0"/>
        <v>6000</v>
      </c>
      <c r="F14" s="6">
        <f t="shared" si="1"/>
        <v>144</v>
      </c>
      <c r="G14" s="6">
        <f t="shared" si="1"/>
        <v>250000</v>
      </c>
      <c r="I14" s="37" t="s">
        <v>53</v>
      </c>
      <c r="J14" s="37">
        <v>19</v>
      </c>
      <c r="K14" s="37">
        <v>53.261049331981759</v>
      </c>
      <c r="L14" s="37">
        <v>2.8032131227358819</v>
      </c>
      <c r="M14" s="37"/>
      <c r="N14" s="37"/>
    </row>
    <row r="15" spans="1:14" ht="18" customHeight="1" thickBot="1" x14ac:dyDescent="0.25">
      <c r="A15" s="6">
        <v>14</v>
      </c>
      <c r="B15" s="6">
        <v>11.66</v>
      </c>
      <c r="C15" s="6">
        <v>2</v>
      </c>
      <c r="D15" s="6">
        <v>360</v>
      </c>
      <c r="E15" s="6">
        <f t="shared" si="0"/>
        <v>720</v>
      </c>
      <c r="F15" s="6">
        <f t="shared" si="1"/>
        <v>4</v>
      </c>
      <c r="G15" s="6">
        <f t="shared" si="1"/>
        <v>129600</v>
      </c>
      <c r="I15" s="38" t="s">
        <v>54</v>
      </c>
      <c r="J15" s="38">
        <v>24</v>
      </c>
      <c r="K15" s="38">
        <v>6105.9447040000014</v>
      </c>
      <c r="L15" s="38"/>
      <c r="M15" s="38"/>
      <c r="N15" s="38"/>
    </row>
    <row r="16" spans="1:14" ht="18" customHeight="1" thickBot="1" x14ac:dyDescent="0.25">
      <c r="A16" s="6">
        <v>15</v>
      </c>
      <c r="B16" s="6">
        <v>21.65</v>
      </c>
      <c r="C16" s="6">
        <v>4</v>
      </c>
      <c r="D16" s="6">
        <v>205</v>
      </c>
      <c r="E16" s="6">
        <f t="shared" si="0"/>
        <v>820</v>
      </c>
      <c r="F16" s="6">
        <f t="shared" si="1"/>
        <v>16</v>
      </c>
      <c r="G16" s="6">
        <f t="shared" si="1"/>
        <v>42025</v>
      </c>
    </row>
    <row r="17" spans="1:17" ht="18" customHeight="1" x14ac:dyDescent="0.2">
      <c r="A17" s="6">
        <v>16</v>
      </c>
      <c r="B17" s="6">
        <v>17.89</v>
      </c>
      <c r="C17" s="6">
        <v>4</v>
      </c>
      <c r="D17" s="6">
        <v>400</v>
      </c>
      <c r="E17" s="6">
        <f t="shared" si="0"/>
        <v>1600</v>
      </c>
      <c r="F17" s="6">
        <f t="shared" si="1"/>
        <v>16</v>
      </c>
      <c r="G17" s="6">
        <f t="shared" si="1"/>
        <v>160000</v>
      </c>
      <c r="I17" s="39"/>
      <c r="J17" s="39" t="s">
        <v>61</v>
      </c>
      <c r="K17" s="39" t="s">
        <v>49</v>
      </c>
      <c r="L17" s="39" t="s">
        <v>62</v>
      </c>
      <c r="M17" s="39" t="s">
        <v>63</v>
      </c>
      <c r="N17" s="39" t="s">
        <v>64</v>
      </c>
      <c r="O17" s="39" t="s">
        <v>65</v>
      </c>
      <c r="P17" s="39" t="s">
        <v>66</v>
      </c>
      <c r="Q17" s="39" t="s">
        <v>67</v>
      </c>
    </row>
    <row r="18" spans="1:17" ht="18" customHeight="1" x14ac:dyDescent="0.2">
      <c r="A18" s="6">
        <v>17</v>
      </c>
      <c r="B18" s="6">
        <v>69</v>
      </c>
      <c r="C18" s="6">
        <v>20</v>
      </c>
      <c r="D18" s="6">
        <v>600</v>
      </c>
      <c r="E18" s="6">
        <f t="shared" si="0"/>
        <v>12000</v>
      </c>
      <c r="F18" s="6">
        <f t="shared" si="1"/>
        <v>400</v>
      </c>
      <c r="G18" s="6">
        <f t="shared" si="1"/>
        <v>360000</v>
      </c>
      <c r="I18" s="37" t="s">
        <v>55</v>
      </c>
      <c r="J18" s="37">
        <v>6.4689423071250367</v>
      </c>
      <c r="K18" s="37">
        <v>1.4438373448994346</v>
      </c>
      <c r="L18" s="37">
        <v>4.4803816233023177</v>
      </c>
      <c r="M18" s="41">
        <v>2.5634893107229245E-4</v>
      </c>
      <c r="N18" s="37">
        <v>3.446956013597493</v>
      </c>
      <c r="O18" s="37">
        <v>9.4909286006525804</v>
      </c>
      <c r="P18" s="37">
        <v>3.446956013597493</v>
      </c>
      <c r="Q18" s="37">
        <v>9.4909286006525804</v>
      </c>
    </row>
    <row r="19" spans="1:17" ht="18" customHeight="1" x14ac:dyDescent="0.2">
      <c r="A19" s="6">
        <v>18</v>
      </c>
      <c r="B19" s="6">
        <v>10.3</v>
      </c>
      <c r="C19" s="6">
        <v>1</v>
      </c>
      <c r="D19" s="6">
        <v>585</v>
      </c>
      <c r="E19" s="6">
        <f t="shared" si="0"/>
        <v>585</v>
      </c>
      <c r="F19" s="6">
        <f t="shared" si="1"/>
        <v>1</v>
      </c>
      <c r="G19" s="6">
        <f t="shared" si="1"/>
        <v>342225</v>
      </c>
      <c r="I19" s="37" t="s">
        <v>21</v>
      </c>
      <c r="J19" s="37">
        <v>1.6561823463141032</v>
      </c>
      <c r="K19" s="37">
        <v>0.26995121453257653</v>
      </c>
      <c r="L19" s="37">
        <v>6.1351172254653532</v>
      </c>
      <c r="M19" s="41">
        <v>6.7480108827226469E-6</v>
      </c>
      <c r="N19" s="37">
        <v>1.0911679607806826</v>
      </c>
      <c r="O19" s="37">
        <v>2.2211967318475239</v>
      </c>
      <c r="P19" s="37">
        <v>1.0911679607806826</v>
      </c>
      <c r="Q19" s="37">
        <v>2.2211967318475239</v>
      </c>
    </row>
    <row r="20" spans="1:17" ht="18" customHeight="1" x14ac:dyDescent="0.2">
      <c r="A20" s="6">
        <v>19</v>
      </c>
      <c r="B20" s="6">
        <v>34.93</v>
      </c>
      <c r="C20" s="6">
        <v>10</v>
      </c>
      <c r="D20" s="6">
        <v>540</v>
      </c>
      <c r="E20" s="6">
        <f t="shared" si="0"/>
        <v>5400</v>
      </c>
      <c r="F20" s="6">
        <f t="shared" si="1"/>
        <v>100</v>
      </c>
      <c r="G20" s="6">
        <f t="shared" si="1"/>
        <v>291600</v>
      </c>
      <c r="I20" s="37" t="s">
        <v>22</v>
      </c>
      <c r="J20" s="37">
        <v>1.6656793552665167E-2</v>
      </c>
      <c r="K20" s="37">
        <v>8.7005979804351159E-3</v>
      </c>
      <c r="L20" s="37">
        <v>1.9144423854683332</v>
      </c>
      <c r="M20" s="37">
        <v>7.0745393855091501E-2</v>
      </c>
      <c r="N20" s="37">
        <v>-1.5537673081218904E-3</v>
      </c>
      <c r="O20" s="37">
        <v>3.4867354413452227E-2</v>
      </c>
      <c r="P20" s="37">
        <v>-1.5537673081218904E-3</v>
      </c>
      <c r="Q20" s="37">
        <v>3.4867354413452227E-2</v>
      </c>
    </row>
    <row r="21" spans="1:17" ht="18" customHeight="1" x14ac:dyDescent="0.2">
      <c r="A21" s="6">
        <v>20</v>
      </c>
      <c r="B21" s="6">
        <v>46.59</v>
      </c>
      <c r="C21" s="6">
        <v>15</v>
      </c>
      <c r="D21" s="6">
        <v>250</v>
      </c>
      <c r="E21" s="6">
        <f t="shared" si="0"/>
        <v>3750</v>
      </c>
      <c r="F21" s="6">
        <f t="shared" si="1"/>
        <v>225</v>
      </c>
      <c r="G21" s="6">
        <f t="shared" si="1"/>
        <v>62500</v>
      </c>
      <c r="I21" s="37" t="s">
        <v>75</v>
      </c>
      <c r="J21" s="37">
        <v>1.4819170125077801E-3</v>
      </c>
      <c r="K21" s="37">
        <v>4.6289331564659396E-4</v>
      </c>
      <c r="L21" s="37">
        <v>3.2014223632453187</v>
      </c>
      <c r="M21" s="41">
        <v>4.6991809442873227E-3</v>
      </c>
      <c r="N21" s="37">
        <v>5.1307016823464054E-4</v>
      </c>
      <c r="O21" s="37">
        <v>2.4507638567809195E-3</v>
      </c>
      <c r="P21" s="37">
        <v>5.1307016823464054E-4</v>
      </c>
      <c r="Q21" s="37">
        <v>2.4507638567809195E-3</v>
      </c>
    </row>
    <row r="22" spans="1:17" ht="18" customHeight="1" x14ac:dyDescent="0.2">
      <c r="A22" s="6">
        <v>21</v>
      </c>
      <c r="B22" s="6">
        <v>44.88</v>
      </c>
      <c r="C22" s="6">
        <v>15</v>
      </c>
      <c r="D22" s="6">
        <v>290</v>
      </c>
      <c r="E22" s="6">
        <f t="shared" si="0"/>
        <v>4350</v>
      </c>
      <c r="F22" s="6">
        <f t="shared" si="1"/>
        <v>225</v>
      </c>
      <c r="G22" s="6">
        <f t="shared" si="1"/>
        <v>84100</v>
      </c>
      <c r="I22" s="37" t="s">
        <v>76</v>
      </c>
      <c r="J22" s="37">
        <v>2.6602917254962329E-2</v>
      </c>
      <c r="K22" s="37">
        <v>1.5046140782673459E-2</v>
      </c>
      <c r="L22" s="37">
        <v>1.768089082723272</v>
      </c>
      <c r="M22" s="37">
        <v>9.310074464953326E-2</v>
      </c>
      <c r="N22" s="37">
        <v>-4.8890173291870898E-3</v>
      </c>
      <c r="O22" s="37">
        <v>5.8094851839111748E-2</v>
      </c>
      <c r="P22" s="37">
        <v>-4.8890173291870898E-3</v>
      </c>
      <c r="Q22" s="37">
        <v>5.8094851839111748E-2</v>
      </c>
    </row>
    <row r="23" spans="1:17" ht="18" customHeight="1" thickBot="1" x14ac:dyDescent="0.25">
      <c r="A23" s="6">
        <v>22</v>
      </c>
      <c r="B23" s="6">
        <v>54.12</v>
      </c>
      <c r="C23" s="6">
        <v>16</v>
      </c>
      <c r="D23" s="6">
        <v>510</v>
      </c>
      <c r="E23" s="6">
        <f t="shared" si="0"/>
        <v>8160</v>
      </c>
      <c r="F23" s="6">
        <f t="shared" si="1"/>
        <v>256</v>
      </c>
      <c r="G23" s="6">
        <f t="shared" si="1"/>
        <v>260100</v>
      </c>
      <c r="I23" s="38" t="s">
        <v>77</v>
      </c>
      <c r="J23" s="38">
        <v>-2.6427826384895047E-5</v>
      </c>
      <c r="K23" s="38">
        <v>1.4783327801407784E-5</v>
      </c>
      <c r="L23" s="38">
        <v>-1.7876777637561674</v>
      </c>
      <c r="M23" s="38">
        <v>8.9790081958400783E-2</v>
      </c>
      <c r="N23" s="38">
        <v>-5.7369687077444648E-5</v>
      </c>
      <c r="O23" s="38">
        <v>4.5140343076545544E-6</v>
      </c>
      <c r="P23" s="38">
        <v>-5.7369687077444648E-5</v>
      </c>
      <c r="Q23" s="38">
        <v>4.5140343076545544E-6</v>
      </c>
    </row>
    <row r="24" spans="1:17" ht="18" customHeight="1" x14ac:dyDescent="0.2">
      <c r="A24" s="6">
        <v>23</v>
      </c>
      <c r="B24" s="6">
        <v>56.63</v>
      </c>
      <c r="C24" s="6">
        <v>17</v>
      </c>
      <c r="D24" s="6">
        <v>590</v>
      </c>
      <c r="E24" s="6">
        <f t="shared" si="0"/>
        <v>10030</v>
      </c>
      <c r="F24" s="6">
        <f t="shared" si="1"/>
        <v>289</v>
      </c>
      <c r="G24" s="6">
        <f t="shared" si="1"/>
        <v>348100</v>
      </c>
    </row>
    <row r="25" spans="1:17" ht="18" customHeight="1" x14ac:dyDescent="0.2">
      <c r="A25" s="6">
        <v>24</v>
      </c>
      <c r="B25" s="6">
        <v>22.13</v>
      </c>
      <c r="C25" s="6">
        <v>6</v>
      </c>
      <c r="D25" s="6">
        <v>100</v>
      </c>
      <c r="E25" s="6">
        <f t="shared" si="0"/>
        <v>600</v>
      </c>
      <c r="F25" s="6">
        <f t="shared" si="1"/>
        <v>36</v>
      </c>
      <c r="G25" s="6">
        <f t="shared" si="1"/>
        <v>10000</v>
      </c>
      <c r="J25" t="s">
        <v>83</v>
      </c>
    </row>
    <row r="26" spans="1:17" ht="18" customHeight="1" x14ac:dyDescent="0.2">
      <c r="A26" s="6">
        <v>25</v>
      </c>
      <c r="B26" s="6">
        <v>21.15</v>
      </c>
      <c r="C26" s="6">
        <v>5</v>
      </c>
      <c r="D26" s="6">
        <v>400</v>
      </c>
      <c r="E26" s="6">
        <f t="shared" si="0"/>
        <v>2000</v>
      </c>
      <c r="F26" s="6">
        <f t="shared" si="1"/>
        <v>25</v>
      </c>
      <c r="G26" s="6">
        <f t="shared" si="1"/>
        <v>160000</v>
      </c>
    </row>
    <row r="27" spans="1:17" ht="18" customHeight="1" x14ac:dyDescent="0.2">
      <c r="I27" t="s">
        <v>68</v>
      </c>
      <c r="N27" t="s">
        <v>73</v>
      </c>
    </row>
    <row r="28" spans="1:17" ht="18" customHeight="1" thickBot="1" x14ac:dyDescent="0.25"/>
    <row r="29" spans="1:17" ht="18" customHeight="1" x14ac:dyDescent="0.2">
      <c r="I29" s="39" t="s">
        <v>69</v>
      </c>
      <c r="J29" s="39" t="s">
        <v>70</v>
      </c>
      <c r="K29" s="39" t="s">
        <v>71</v>
      </c>
      <c r="L29" s="39" t="s">
        <v>72</v>
      </c>
      <c r="N29" s="39" t="s">
        <v>74</v>
      </c>
      <c r="O29" s="39" t="s">
        <v>20</v>
      </c>
    </row>
    <row r="30" spans="1:17" ht="18" customHeight="1" x14ac:dyDescent="0.2">
      <c r="I30" s="37">
        <v>1</v>
      </c>
      <c r="J30" s="37">
        <v>10.802680481694889</v>
      </c>
      <c r="K30" s="37">
        <v>-0.85268048169488964</v>
      </c>
      <c r="L30" s="37">
        <v>-0.57238347038382509</v>
      </c>
      <c r="N30" s="37">
        <v>2</v>
      </c>
      <c r="O30" s="37">
        <v>9.6</v>
      </c>
    </row>
    <row r="31" spans="1:17" ht="18" customHeight="1" x14ac:dyDescent="0.2">
      <c r="I31" s="37">
        <v>2</v>
      </c>
      <c r="J31" s="37">
        <v>24.23754534449824</v>
      </c>
      <c r="K31" s="37">
        <v>0.21245465550175879</v>
      </c>
      <c r="L31" s="37">
        <v>0.14261559356158712</v>
      </c>
      <c r="N31" s="37">
        <v>6</v>
      </c>
      <c r="O31" s="37">
        <v>9.9499999999999993</v>
      </c>
    </row>
    <row r="32" spans="1:17" ht="18" customHeight="1" x14ac:dyDescent="0.2">
      <c r="I32" s="37">
        <v>3</v>
      </c>
      <c r="J32" s="37">
        <v>31.480286087318216</v>
      </c>
      <c r="K32" s="37">
        <v>0.2697139126817838</v>
      </c>
      <c r="L32" s="37">
        <v>0.18105232694518308</v>
      </c>
      <c r="N32" s="37">
        <v>10</v>
      </c>
      <c r="O32" s="37">
        <v>10.3</v>
      </c>
    </row>
    <row r="33" spans="9:15" ht="18" customHeight="1" x14ac:dyDescent="0.2">
      <c r="I33" s="37">
        <v>4</v>
      </c>
      <c r="J33" s="37">
        <v>35.00842003709019</v>
      </c>
      <c r="K33" s="37">
        <v>-8.4200370901896804E-3</v>
      </c>
      <c r="L33" s="37">
        <v>-5.6521641504722834E-3</v>
      </c>
      <c r="N33" s="37">
        <v>14</v>
      </c>
      <c r="O33" s="37">
        <v>11.66</v>
      </c>
    </row>
    <row r="34" spans="9:15" ht="18" customHeight="1" x14ac:dyDescent="0.2">
      <c r="I34" s="37">
        <v>5</v>
      </c>
      <c r="J34" s="37">
        <v>27.532184438364546</v>
      </c>
      <c r="K34" s="37">
        <v>-2.512184438364546</v>
      </c>
      <c r="L34" s="37">
        <v>-1.686367728527258</v>
      </c>
      <c r="N34" s="37">
        <v>18</v>
      </c>
      <c r="O34" s="37">
        <v>14.38</v>
      </c>
    </row>
    <row r="35" spans="9:15" ht="18" customHeight="1" x14ac:dyDescent="0.2">
      <c r="I35" s="37">
        <v>6</v>
      </c>
      <c r="J35" s="37">
        <v>16.979097633604301</v>
      </c>
      <c r="K35" s="37">
        <v>-0.11909763360430148</v>
      </c>
      <c r="L35" s="37">
        <v>-7.9947317078760224E-2</v>
      </c>
      <c r="N35" s="37">
        <v>22</v>
      </c>
      <c r="O35" s="37">
        <v>16.86</v>
      </c>
    </row>
    <row r="36" spans="9:15" ht="18" customHeight="1" x14ac:dyDescent="0.2">
      <c r="I36" s="37">
        <v>7</v>
      </c>
      <c r="J36" s="37">
        <v>13.529040925027498</v>
      </c>
      <c r="K36" s="37">
        <v>0.85095907497250245</v>
      </c>
      <c r="L36" s="37">
        <v>0.5712279323190349</v>
      </c>
      <c r="N36" s="37">
        <v>26</v>
      </c>
      <c r="O36" s="37">
        <v>17.079999999999998</v>
      </c>
    </row>
    <row r="37" spans="9:15" ht="18" customHeight="1" x14ac:dyDescent="0.2">
      <c r="I37" s="37">
        <v>8</v>
      </c>
      <c r="J37" s="37">
        <v>10.836530460267733</v>
      </c>
      <c r="K37" s="37">
        <v>-1.2365304602677334</v>
      </c>
      <c r="L37" s="37">
        <v>-0.83005253582972405</v>
      </c>
      <c r="N37" s="37">
        <v>30</v>
      </c>
      <c r="O37" s="37">
        <v>17.89</v>
      </c>
    </row>
    <row r="38" spans="9:15" ht="18" customHeight="1" x14ac:dyDescent="0.2">
      <c r="I38" s="37">
        <v>9</v>
      </c>
      <c r="J38" s="37">
        <v>26.264546124278478</v>
      </c>
      <c r="K38" s="37">
        <v>-1.9145461242784769</v>
      </c>
      <c r="L38" s="37">
        <v>-1.2851878028756623</v>
      </c>
      <c r="N38" s="37">
        <v>34</v>
      </c>
      <c r="O38" s="37">
        <v>21.15</v>
      </c>
    </row>
    <row r="39" spans="9:15" ht="18" customHeight="1" x14ac:dyDescent="0.2">
      <c r="I39" s="37">
        <v>10</v>
      </c>
      <c r="J39" s="37">
        <v>27.596122303133125</v>
      </c>
      <c r="K39" s="37">
        <v>-9.6122303133125087E-2</v>
      </c>
      <c r="L39" s="37">
        <v>-6.4524541876767455E-2</v>
      </c>
      <c r="N39" s="37">
        <v>38</v>
      </c>
      <c r="O39" s="37">
        <v>21.65</v>
      </c>
    </row>
    <row r="40" spans="9:15" ht="18" customHeight="1" x14ac:dyDescent="0.2">
      <c r="I40" s="37">
        <v>11</v>
      </c>
      <c r="J40" s="37">
        <v>18.338151586894092</v>
      </c>
      <c r="K40" s="37">
        <v>-1.258151586894094</v>
      </c>
      <c r="L40" s="37">
        <v>-0.84456626724222827</v>
      </c>
      <c r="N40" s="37">
        <v>42</v>
      </c>
      <c r="O40" s="37">
        <v>22.13</v>
      </c>
    </row>
    <row r="41" spans="9:15" ht="18" customHeight="1" x14ac:dyDescent="0.2">
      <c r="I41" s="37">
        <v>12</v>
      </c>
      <c r="J41" s="37">
        <v>36.860601158947709</v>
      </c>
      <c r="K41" s="37">
        <v>0.13939884105229083</v>
      </c>
      <c r="L41" s="37">
        <v>9.3575019156524039E-2</v>
      </c>
      <c r="N41" s="37">
        <v>46</v>
      </c>
      <c r="O41" s="37">
        <v>24.35</v>
      </c>
    </row>
    <row r="42" spans="9:15" ht="18" customHeight="1" x14ac:dyDescent="0.2">
      <c r="I42" s="37">
        <v>13</v>
      </c>
      <c r="J42" s="37">
        <v>40.786892802764356</v>
      </c>
      <c r="K42" s="37">
        <v>1.1631071972356466</v>
      </c>
      <c r="L42" s="37">
        <v>0.78076530221359408</v>
      </c>
      <c r="N42" s="37">
        <v>50</v>
      </c>
      <c r="O42" s="37">
        <v>24.45</v>
      </c>
    </row>
    <row r="43" spans="9:15" ht="18" customHeight="1" x14ac:dyDescent="0.2">
      <c r="I43" s="37">
        <v>14</v>
      </c>
      <c r="J43" s="37">
        <v>13.526098297255755</v>
      </c>
      <c r="K43" s="37">
        <v>-1.8660982972557552</v>
      </c>
      <c r="L43" s="37">
        <v>-1.2526659661981066</v>
      </c>
      <c r="N43" s="37">
        <v>54</v>
      </c>
      <c r="O43" s="37">
        <v>25.02</v>
      </c>
    </row>
    <row r="44" spans="9:15" ht="18" customHeight="1" x14ac:dyDescent="0.2">
      <c r="I44" s="37">
        <v>15</v>
      </c>
      <c r="J44" s="37">
        <v>17.03850359318837</v>
      </c>
      <c r="K44" s="37">
        <v>4.6114964068116286</v>
      </c>
      <c r="L44" s="37">
        <v>3.0955843057961236</v>
      </c>
      <c r="N44" s="37">
        <v>58</v>
      </c>
      <c r="O44" s="37">
        <v>27.5</v>
      </c>
    </row>
    <row r="45" spans="9:15" ht="18" customHeight="1" x14ac:dyDescent="0.2">
      <c r="I45" s="37">
        <v>16</v>
      </c>
      <c r="J45" s="37">
        <v>18.324650787956152</v>
      </c>
      <c r="K45" s="37">
        <v>-0.43465078795615142</v>
      </c>
      <c r="L45" s="37">
        <v>-0.29177040140626576</v>
      </c>
      <c r="N45" s="37">
        <v>62</v>
      </c>
      <c r="O45" s="37">
        <v>31.75</v>
      </c>
    </row>
    <row r="46" spans="9:15" ht="18" customHeight="1" x14ac:dyDescent="0.2">
      <c r="I46" s="37">
        <v>17</v>
      </c>
      <c r="J46" s="37">
        <v>68.49681891852228</v>
      </c>
      <c r="K46" s="37">
        <v>0.50318108147772023</v>
      </c>
      <c r="L46" s="37">
        <v>0.3377731047334584</v>
      </c>
      <c r="N46" s="37">
        <v>66</v>
      </c>
      <c r="O46" s="37">
        <v>34.93</v>
      </c>
    </row>
    <row r="47" spans="9:15" ht="18" customHeight="1" x14ac:dyDescent="0.2">
      <c r="I47" s="37">
        <v>18</v>
      </c>
      <c r="J47" s="37">
        <v>9.7186103667495676</v>
      </c>
      <c r="K47" s="37">
        <v>0.58138963325043314</v>
      </c>
      <c r="L47" s="37">
        <v>0.39027258518172392</v>
      </c>
      <c r="N47" s="37">
        <v>70</v>
      </c>
      <c r="O47" s="37">
        <v>35</v>
      </c>
    </row>
    <row r="48" spans="9:15" ht="18" customHeight="1" x14ac:dyDescent="0.2">
      <c r="I48" s="37">
        <v>19</v>
      </c>
      <c r="J48" s="37">
        <v>34.98172370790811</v>
      </c>
      <c r="K48" s="37">
        <v>-5.1723707908109873E-2</v>
      </c>
      <c r="L48" s="37">
        <v>-3.4720855078933209E-2</v>
      </c>
      <c r="N48" s="37">
        <v>74</v>
      </c>
      <c r="O48" s="37">
        <v>37</v>
      </c>
    </row>
    <row r="49" spans="9:15" ht="18" customHeight="1" x14ac:dyDescent="0.2">
      <c r="I49" s="37">
        <v>20</v>
      </c>
      <c r="J49" s="37">
        <v>45.366981920217633</v>
      </c>
      <c r="K49" s="37">
        <v>1.2230180797823706</v>
      </c>
      <c r="L49" s="37">
        <v>0.82098200659703291</v>
      </c>
      <c r="N49" s="37">
        <v>78</v>
      </c>
      <c r="O49" s="37">
        <v>41.95</v>
      </c>
    </row>
    <row r="50" spans="9:15" ht="18" customHeight="1" x14ac:dyDescent="0.2">
      <c r="I50" s="37">
        <v>21</v>
      </c>
      <c r="J50" s="37">
        <v>46.351562819915173</v>
      </c>
      <c r="K50" s="37">
        <v>-1.4715628199151709</v>
      </c>
      <c r="L50" s="37">
        <v>-0.98782398780443603</v>
      </c>
      <c r="N50" s="37">
        <v>82</v>
      </c>
      <c r="O50" s="37">
        <v>44.88</v>
      </c>
    </row>
    <row r="51" spans="9:15" ht="18" customHeight="1" x14ac:dyDescent="0.2">
      <c r="I51" s="37">
        <v>22</v>
      </c>
      <c r="J51" s="37">
        <v>53.49173655663256</v>
      </c>
      <c r="K51" s="37">
        <v>0.62826344336743745</v>
      </c>
      <c r="L51" s="37">
        <v>0.42173782295936518</v>
      </c>
      <c r="N51" s="37">
        <v>86</v>
      </c>
      <c r="O51" s="37">
        <v>46.59</v>
      </c>
    </row>
    <row r="52" spans="9:15" ht="18" customHeight="1" x14ac:dyDescent="0.2">
      <c r="I52" s="37">
        <v>23</v>
      </c>
      <c r="J52" s="37">
        <v>57.803894748092425</v>
      </c>
      <c r="K52" s="37">
        <v>-1.1738947480924224</v>
      </c>
      <c r="L52" s="37">
        <v>-0.78800672022291685</v>
      </c>
      <c r="N52" s="37">
        <v>90</v>
      </c>
      <c r="O52" s="37">
        <v>54.12</v>
      </c>
    </row>
    <row r="53" spans="9:15" ht="18" customHeight="1" x14ac:dyDescent="0.2">
      <c r="I53" s="37">
        <v>24</v>
      </c>
      <c r="J53" s="37">
        <v>19.654292705110532</v>
      </c>
      <c r="K53" s="37">
        <v>2.4757072948894674</v>
      </c>
      <c r="L53" s="37">
        <v>1.6618815177834014</v>
      </c>
      <c r="N53" s="37">
        <v>94</v>
      </c>
      <c r="O53" s="37">
        <v>56.63</v>
      </c>
    </row>
    <row r="54" spans="9:15" ht="18" customHeight="1" thickBot="1" x14ac:dyDescent="0.25">
      <c r="I54" s="38">
        <v>25</v>
      </c>
      <c r="J54" s="38">
        <v>20.813026194568032</v>
      </c>
      <c r="K54" s="38">
        <v>0.33697380543196687</v>
      </c>
      <c r="L54" s="38">
        <v>0.22620224142835449</v>
      </c>
      <c r="N54" s="38">
        <v>98</v>
      </c>
      <c r="O54" s="38">
        <v>69</v>
      </c>
    </row>
    <row r="57" spans="9:15" ht="18" customHeight="1" thickBot="1" x14ac:dyDescent="0.25">
      <c r="I57" s="33"/>
      <c r="J57" s="33"/>
      <c r="K57" s="33"/>
      <c r="L57" s="33"/>
      <c r="N57" s="33"/>
      <c r="O57" s="33"/>
    </row>
  </sheetData>
  <sortState xmlns:xlrd2="http://schemas.microsoft.com/office/spreadsheetml/2017/richdata2" ref="O30:O54">
    <sortCondition ref="O30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C85A-BDE5-49CC-A803-BE1B397C72D6}">
  <dimension ref="A1:G12"/>
  <sheetViews>
    <sheetView zoomScale="150" zoomScaleNormal="115" workbookViewId="0">
      <selection activeCell="D13" sqref="D13"/>
    </sheetView>
  </sheetViews>
  <sheetFormatPr baseColWidth="10" defaultColWidth="8.83203125" defaultRowHeight="15" x14ac:dyDescent="0.2"/>
  <cols>
    <col min="1" max="1" width="37.1640625" bestFit="1" customWidth="1"/>
  </cols>
  <sheetData>
    <row r="1" spans="1:7" x14ac:dyDescent="0.2">
      <c r="A1" t="s">
        <v>23</v>
      </c>
    </row>
    <row r="2" spans="1:7" x14ac:dyDescent="0.2">
      <c r="A2" t="s">
        <v>24</v>
      </c>
    </row>
    <row r="3" spans="1:7" x14ac:dyDescent="0.2">
      <c r="A3" t="s">
        <v>25</v>
      </c>
      <c r="D3" t="s">
        <v>84</v>
      </c>
      <c r="E3" t="s">
        <v>85</v>
      </c>
      <c r="F3">
        <v>1</v>
      </c>
      <c r="G3" t="s">
        <v>87</v>
      </c>
    </row>
    <row r="4" spans="1:7" x14ac:dyDescent="0.2">
      <c r="A4" s="27" t="s">
        <v>26</v>
      </c>
      <c r="B4" s="26"/>
      <c r="E4" t="s">
        <v>86</v>
      </c>
      <c r="F4">
        <v>2</v>
      </c>
    </row>
    <row r="5" spans="1:7" x14ac:dyDescent="0.2">
      <c r="A5" s="27" t="s">
        <v>27</v>
      </c>
      <c r="B5" s="26"/>
    </row>
    <row r="6" spans="1:7" x14ac:dyDescent="0.2">
      <c r="A6" s="27" t="s">
        <v>19</v>
      </c>
      <c r="B6" s="26"/>
      <c r="D6" t="s">
        <v>88</v>
      </c>
      <c r="E6" t="s">
        <v>85</v>
      </c>
      <c r="F6" s="42">
        <f>1/4</f>
        <v>0.25</v>
      </c>
      <c r="G6" s="42" t="s">
        <v>89</v>
      </c>
    </row>
    <row r="7" spans="1:7" x14ac:dyDescent="0.2">
      <c r="E7" t="s">
        <v>86</v>
      </c>
      <c r="F7" s="42">
        <f>22/4</f>
        <v>5.5</v>
      </c>
      <c r="G7" t="s">
        <v>90</v>
      </c>
    </row>
    <row r="9" spans="1:7" x14ac:dyDescent="0.2">
      <c r="G9" t="s">
        <v>91</v>
      </c>
    </row>
    <row r="10" spans="1:7" x14ac:dyDescent="0.2">
      <c r="A10" t="s">
        <v>28</v>
      </c>
      <c r="G10" t="s">
        <v>92</v>
      </c>
    </row>
    <row r="11" spans="1:7" x14ac:dyDescent="0.2">
      <c r="A11" s="27" t="s">
        <v>29</v>
      </c>
      <c r="B11" s="28">
        <v>1</v>
      </c>
    </row>
    <row r="12" spans="1:7" x14ac:dyDescent="0.2">
      <c r="A12" s="27" t="s">
        <v>30</v>
      </c>
      <c r="B12" s="2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Sheet2 practice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Tanasanee Phienthrakul</dc:creator>
  <cp:lastModifiedBy>NATHAN TANABORIBOON</cp:lastModifiedBy>
  <dcterms:created xsi:type="dcterms:W3CDTF">2026-06-18T01:00:09Z</dcterms:created>
  <dcterms:modified xsi:type="dcterms:W3CDTF">2026-07-13T15:51:38Z</dcterms:modified>
</cp:coreProperties>
</file>