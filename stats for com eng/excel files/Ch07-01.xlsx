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excel files/"/>
    </mc:Choice>
  </mc:AlternateContent>
  <xr:revisionPtr revIDLastSave="0" documentId="13_ncr:1_{C9A805D7-8FF5-C046-B51D-A9CA3D6AA6A6}" xr6:coauthVersionLast="47" xr6:coauthVersionMax="47" xr10:uidLastSave="{00000000-0000-0000-0000-000000000000}"/>
  <bookViews>
    <workbookView xWindow="0" yWindow="600" windowWidth="20480" windowHeight="11040" activeTab="2" xr2:uid="{6CA4CF82-2607-4099-8656-DF6CD5F2B5F5}"/>
  </bookViews>
  <sheets>
    <sheet name="Thickness" sheetId="1" r:id="rId1"/>
    <sheet name="Wraping" sheetId="2" r:id="rId2"/>
    <sheet name="Wraping practi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E30" i="3"/>
  <c r="E31" i="3"/>
  <c r="E29" i="3"/>
  <c r="G22" i="3"/>
  <c r="G20" i="3"/>
  <c r="I8" i="3"/>
  <c r="E8" i="3"/>
  <c r="I4" i="3"/>
  <c r="I5" i="3"/>
  <c r="I6" i="3"/>
  <c r="I3" i="3"/>
  <c r="G8" i="3" s="1"/>
  <c r="H4" i="3"/>
  <c r="H5" i="3"/>
  <c r="H6" i="3"/>
  <c r="H3" i="3"/>
  <c r="G4" i="3"/>
  <c r="G13" i="3" s="1"/>
  <c r="G5" i="3"/>
  <c r="G14" i="3" s="1"/>
  <c r="G6" i="3"/>
  <c r="G15" i="3" s="1"/>
  <c r="G3" i="3"/>
  <c r="C50" i="1"/>
  <c r="J28" i="1"/>
  <c r="E32" i="2"/>
  <c r="E31" i="2"/>
  <c r="E30" i="2"/>
  <c r="E29" i="2"/>
  <c r="B25" i="2"/>
  <c r="B24" i="2"/>
  <c r="B23" i="2"/>
  <c r="B22" i="2"/>
  <c r="C13" i="2"/>
  <c r="C14" i="2"/>
  <c r="C12" i="2"/>
  <c r="B10" i="2"/>
  <c r="B9" i="2"/>
  <c r="B19" i="2"/>
  <c r="B8" i="2"/>
  <c r="B18" i="2" s="1"/>
  <c r="E8" i="2"/>
  <c r="G4" i="2"/>
  <c r="H4" i="2"/>
  <c r="I4" i="2"/>
  <c r="G5" i="2"/>
  <c r="H5" i="2"/>
  <c r="I5" i="2"/>
  <c r="G6" i="2"/>
  <c r="H6" i="2"/>
  <c r="I6" i="2"/>
  <c r="I3" i="2"/>
  <c r="H3" i="2"/>
  <c r="G3" i="2"/>
  <c r="E60" i="1"/>
  <c r="E59" i="1"/>
  <c r="E58" i="1"/>
  <c r="E57" i="1"/>
  <c r="C53" i="1"/>
  <c r="C52" i="1"/>
  <c r="C51" i="1"/>
  <c r="E48" i="1"/>
  <c r="E46" i="1"/>
  <c r="D48" i="1"/>
  <c r="E47" i="1"/>
  <c r="D47" i="1"/>
  <c r="D46" i="1"/>
  <c r="J30" i="1"/>
  <c r="J29" i="1"/>
  <c r="C46" i="1" s="1"/>
  <c r="J27" i="1"/>
  <c r="J20" i="1"/>
  <c r="J19" i="1"/>
  <c r="J18" i="1"/>
  <c r="J11" i="1"/>
  <c r="B48" i="1" s="1"/>
  <c r="J10" i="1"/>
  <c r="B47" i="1" s="1"/>
  <c r="J9" i="1"/>
  <c r="B46" i="1" s="1"/>
  <c r="K4" i="1"/>
  <c r="K5" i="1"/>
  <c r="K6" i="1"/>
  <c r="K3" i="1"/>
  <c r="J4" i="1"/>
  <c r="J5" i="1"/>
  <c r="J6" i="1"/>
  <c r="J3" i="1"/>
  <c r="I4" i="1"/>
  <c r="I5" i="1"/>
  <c r="I6" i="1"/>
  <c r="I3" i="1"/>
  <c r="B20" i="2"/>
  <c r="H13" i="3" l="1"/>
  <c r="I13" i="3" s="1"/>
  <c r="J13" i="3" s="1"/>
  <c r="H14" i="3"/>
  <c r="I14" i="3" s="1"/>
  <c r="J14" i="3" s="1"/>
  <c r="H15" i="3"/>
  <c r="I15" i="3" s="1"/>
  <c r="J15" i="3" s="1"/>
  <c r="C18" i="2"/>
  <c r="D18" i="2" s="1"/>
  <c r="E18" i="2" s="1"/>
  <c r="C47" i="1"/>
  <c r="C48" i="1"/>
  <c r="C20" i="2" l="1"/>
  <c r="D20" i="2" s="1"/>
  <c r="E20" i="2" s="1"/>
  <c r="C19" i="2"/>
  <c r="D19" i="2" s="1"/>
  <c r="E19" i="2" s="1"/>
</calcChain>
</file>

<file path=xl/sharedStrings.xml><?xml version="1.0" encoding="utf-8"?>
<sst xmlns="http://schemas.openxmlformats.org/spreadsheetml/2006/main" count="191" uniqueCount="75">
  <si>
    <t>Treatment Combination</t>
  </si>
  <si>
    <t>Design Factors</t>
  </si>
  <si>
    <t>A</t>
  </si>
  <si>
    <t>B</t>
  </si>
  <si>
    <t>AB</t>
  </si>
  <si>
    <t>Thickness</t>
  </si>
  <si>
    <t>Total</t>
  </si>
  <si>
    <t>Average</t>
  </si>
  <si>
    <t>(1)</t>
  </si>
  <si>
    <t>a</t>
  </si>
  <si>
    <t>b</t>
  </si>
  <si>
    <t>ab</t>
  </si>
  <si>
    <t>-</t>
  </si>
  <si>
    <t>+</t>
  </si>
  <si>
    <t>A =</t>
  </si>
  <si>
    <t>B =</t>
  </si>
  <si>
    <t>AB =</t>
  </si>
  <si>
    <t>SS(AB) =</t>
  </si>
  <si>
    <t>SS(B) =</t>
  </si>
  <si>
    <t>SS(A) =</t>
  </si>
  <si>
    <t>Variance</t>
  </si>
  <si>
    <t>Standard Error (Effect) =</t>
  </si>
  <si>
    <t>Effect</t>
  </si>
  <si>
    <t>Effect Estimator</t>
  </si>
  <si>
    <t>Estimated Standard Error</t>
  </si>
  <si>
    <t>t Ratio</t>
  </si>
  <si>
    <t>P-Value</t>
  </si>
  <si>
    <t>Degree of Freedom =</t>
  </si>
  <si>
    <t>*Sig</t>
  </si>
  <si>
    <t>Prediction Model :</t>
  </si>
  <si>
    <t>Average =</t>
  </si>
  <si>
    <t>Coef_A =</t>
  </si>
  <si>
    <t>Coef_B =</t>
  </si>
  <si>
    <t>Coef_AB =</t>
  </si>
  <si>
    <t>Wraping</t>
  </si>
  <si>
    <t>Sum Square</t>
  </si>
  <si>
    <t>Average Variance =</t>
  </si>
  <si>
    <t>Variance (Effect) =</t>
  </si>
  <si>
    <t>B = -1</t>
  </si>
  <si>
    <t>B = +1</t>
  </si>
  <si>
    <t>Predict y</t>
  </si>
  <si>
    <t>A = -1</t>
  </si>
  <si>
    <t>A = +1</t>
  </si>
  <si>
    <t>we calculate from total</t>
  </si>
  <si>
    <t>=J27/(4*2^(2-2))</t>
  </si>
  <si>
    <t>=SQRT(J28)</t>
  </si>
  <si>
    <t>*</t>
  </si>
  <si>
    <t>=AVERAGE(E3:H6)</t>
  </si>
  <si>
    <t>=B46/2</t>
  </si>
  <si>
    <t>Because of P value calculation, the rest of factors are not significant enough to be taken in to calculation</t>
  </si>
  <si>
    <t>y = 0.418 A - 0.034 B + 0.016 AB + 14.389</t>
  </si>
  <si>
    <t>y = 0.418 A + 14.389</t>
  </si>
  <si>
    <t>=0.418 * (-1) + 14.389</t>
  </si>
  <si>
    <t>the equation utilization</t>
  </si>
  <si>
    <t>n (no. of test)</t>
  </si>
  <si>
    <t>k (no. of factors)</t>
  </si>
  <si>
    <t>average variance</t>
  </si>
  <si>
    <t>average variance =</t>
  </si>
  <si>
    <t>y = 5.375 B + 21.625</t>
  </si>
  <si>
    <t>It is signifcant because it is below 0.05, because that is an alpha, significant value</t>
  </si>
  <si>
    <t>effect estimator</t>
  </si>
  <si>
    <t>k</t>
  </si>
  <si>
    <t>n</t>
  </si>
  <si>
    <t>standard error</t>
  </si>
  <si>
    <t>sigma^2</t>
  </si>
  <si>
    <t>standard eror</t>
  </si>
  <si>
    <t>t ratio</t>
  </si>
  <si>
    <t>P value</t>
  </si>
  <si>
    <t>df</t>
  </si>
  <si>
    <t>alpha</t>
  </si>
  <si>
    <t>sig</t>
  </si>
  <si>
    <t>Coef</t>
  </si>
  <si>
    <t>y intercept</t>
  </si>
  <si>
    <t>predictor</t>
  </si>
  <si>
    <t>y=5.375*B+22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</si>
</sst>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&quot;$&quot;#,##0.00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6" fontId="0" fillId="2" borderId="1" xfId="0" applyNumberForma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166" fontId="0" fillId="2" borderId="4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6" fontId="1" fillId="4" borderId="1" xfId="0" applyNumberFormat="1" applyFont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6" fontId="0" fillId="5" borderId="4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164" fontId="0" fillId="0" borderId="0" xfId="0" quotePrefix="1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1" fillId="4" borderId="2" xfId="0" applyNumberFormat="1" applyFont="1" applyFill="1" applyBorder="1" applyAlignment="1">
      <alignment horizontal="center" vertical="center" wrapText="1"/>
    </xf>
    <xf numFmtId="165" fontId="1" fillId="4" borderId="3" xfId="0" applyNumberFormat="1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164" fontId="1" fillId="4" borderId="6" xfId="0" applyNumberFormat="1" applyFont="1" applyFill="1" applyBorder="1" applyAlignment="1">
      <alignment horizontal="right" vertical="center"/>
    </xf>
    <xf numFmtId="0" fontId="0" fillId="4" borderId="7" xfId="0" applyFill="1" applyBorder="1" applyAlignment="1">
      <alignment horizontal="right" vertical="center"/>
    </xf>
    <xf numFmtId="0" fontId="1" fillId="4" borderId="5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4" fontId="1" fillId="3" borderId="5" xfId="0" applyNumberFormat="1" applyFont="1" applyFill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 wrapText="1"/>
    </xf>
    <xf numFmtId="165" fontId="1" fillId="3" borderId="2" xfId="0" applyNumberFormat="1" applyFont="1" applyFill="1" applyBorder="1" applyAlignment="1">
      <alignment horizontal="center" vertic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7</xdr:row>
      <xdr:rowOff>104776</xdr:rowOff>
    </xdr:from>
    <xdr:to>
      <xdr:col>7</xdr:col>
      <xdr:colOff>238125</xdr:colOff>
      <xdr:row>15</xdr:row>
      <xdr:rowOff>143687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632647-7AAB-40BF-BC73-FF78936D3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38326"/>
          <a:ext cx="5476875" cy="2013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16</xdr:row>
      <xdr:rowOff>123825</xdr:rowOff>
    </xdr:from>
    <xdr:to>
      <xdr:col>7</xdr:col>
      <xdr:colOff>238388</xdr:colOff>
      <xdr:row>25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D7BC39-0A80-4AB1-9732-8A12748BE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838575"/>
          <a:ext cx="5461263" cy="2238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76201</xdr:colOff>
      <xdr:row>31</xdr:row>
      <xdr:rowOff>104775</xdr:rowOff>
    </xdr:from>
    <xdr:to>
      <xdr:col>7</xdr:col>
      <xdr:colOff>228601</xdr:colOff>
      <xdr:row>42</xdr:row>
      <xdr:rowOff>154044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5EECA2-AD29-4727-9C44-E3A9A4A75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7286625"/>
          <a:ext cx="5486400" cy="2773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583493</xdr:colOff>
      <xdr:row>1</xdr:row>
      <xdr:rowOff>70556</xdr:rowOff>
    </xdr:from>
    <xdr:to>
      <xdr:col>19</xdr:col>
      <xdr:colOff>491560</xdr:colOff>
      <xdr:row>9</xdr:row>
      <xdr:rowOff>109467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7D2903-6B1C-9D4F-A8A1-6CC570F44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9604" y="317500"/>
          <a:ext cx="6258067" cy="2014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593018</xdr:colOff>
      <xdr:row>10</xdr:row>
      <xdr:rowOff>89605</xdr:rowOff>
    </xdr:from>
    <xdr:to>
      <xdr:col>19</xdr:col>
      <xdr:colOff>491823</xdr:colOff>
      <xdr:row>17</xdr:row>
      <xdr:rowOff>221050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68A6C4-B47B-E240-AA35-85AA0BCA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9129" y="2559049"/>
          <a:ext cx="6248805" cy="2248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473729</xdr:colOff>
      <xdr:row>19</xdr:row>
      <xdr:rowOff>86641</xdr:rowOff>
    </xdr:from>
    <xdr:to>
      <xdr:col>19</xdr:col>
      <xdr:colOff>391321</xdr:colOff>
      <xdr:row>30</xdr:row>
      <xdr:rowOff>135910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C91569-AB7D-FD44-9E20-FC6E6D11E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5039" y="5348070"/>
          <a:ext cx="6176877" cy="2876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672393</xdr:colOff>
      <xdr:row>1</xdr:row>
      <xdr:rowOff>83256</xdr:rowOff>
    </xdr:from>
    <xdr:to>
      <xdr:col>19</xdr:col>
      <xdr:colOff>580460</xdr:colOff>
      <xdr:row>9</xdr:row>
      <xdr:rowOff>122167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BD471E-02F4-B549-9594-9499B4C36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093" y="337256"/>
          <a:ext cx="6194567" cy="2070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593018</xdr:colOff>
      <xdr:row>10</xdr:row>
      <xdr:rowOff>89605</xdr:rowOff>
    </xdr:from>
    <xdr:to>
      <xdr:col>19</xdr:col>
      <xdr:colOff>491823</xdr:colOff>
      <xdr:row>17</xdr:row>
      <xdr:rowOff>221050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45B35-0EDE-5941-9D21-2D5F83B7C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7718" y="2629605"/>
          <a:ext cx="6185305" cy="2290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473729</xdr:colOff>
      <xdr:row>19</xdr:row>
      <xdr:rowOff>86641</xdr:rowOff>
    </xdr:from>
    <xdr:to>
      <xdr:col>19</xdr:col>
      <xdr:colOff>391321</xdr:colOff>
      <xdr:row>30</xdr:row>
      <xdr:rowOff>135910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B7E5C9-240F-7846-A999-E3EB5481D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8429" y="5293641"/>
          <a:ext cx="6204092" cy="2843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9654-877A-4F50-9ECD-F3F952694135}">
  <dimension ref="A1:K60"/>
  <sheetViews>
    <sheetView topLeftCell="A19" zoomScale="94" workbookViewId="0">
      <selection activeCell="J27" sqref="J27"/>
    </sheetView>
  </sheetViews>
  <sheetFormatPr baseColWidth="10" defaultColWidth="9.1640625" defaultRowHeight="20.25" customHeight="1" x14ac:dyDescent="0.2"/>
  <cols>
    <col min="1" max="1" width="15.6640625" style="5" customWidth="1"/>
    <col min="2" max="4" width="10.6640625" style="5" customWidth="1"/>
    <col min="5" max="9" width="10.6640625" style="6" customWidth="1"/>
    <col min="10" max="10" width="10.6640625" style="16" customWidth="1"/>
    <col min="11" max="11" width="10.6640625" style="5" customWidth="1"/>
    <col min="12" max="16384" width="9.1640625" style="5"/>
  </cols>
  <sheetData>
    <row r="1" spans="1:11" s="1" customFormat="1" ht="20.25" customHeight="1" x14ac:dyDescent="0.2">
      <c r="A1" s="59" t="s">
        <v>0</v>
      </c>
      <c r="B1" s="59" t="s">
        <v>1</v>
      </c>
      <c r="C1" s="59"/>
      <c r="D1" s="59"/>
      <c r="E1" s="61" t="s">
        <v>5</v>
      </c>
      <c r="F1" s="61"/>
      <c r="G1" s="61"/>
      <c r="H1" s="61"/>
      <c r="I1" s="62" t="s">
        <v>5</v>
      </c>
      <c r="J1" s="63"/>
      <c r="K1" s="64"/>
    </row>
    <row r="2" spans="1:11" ht="20.25" customHeight="1" x14ac:dyDescent="0.2">
      <c r="A2" s="60"/>
      <c r="B2" s="10" t="s">
        <v>2</v>
      </c>
      <c r="C2" s="10" t="s">
        <v>3</v>
      </c>
      <c r="D2" s="10" t="s">
        <v>4</v>
      </c>
      <c r="E2" s="60"/>
      <c r="F2" s="60"/>
      <c r="G2" s="60"/>
      <c r="H2" s="60"/>
      <c r="I2" s="11" t="s">
        <v>6</v>
      </c>
      <c r="J2" s="15" t="s">
        <v>7</v>
      </c>
      <c r="K2" s="11" t="s">
        <v>20</v>
      </c>
    </row>
    <row r="3" spans="1:11" ht="20.25" customHeight="1" x14ac:dyDescent="0.2">
      <c r="A3" s="7" t="s">
        <v>8</v>
      </c>
      <c r="B3" s="7" t="s">
        <v>12</v>
      </c>
      <c r="C3" s="7" t="s">
        <v>12</v>
      </c>
      <c r="D3" s="8" t="s">
        <v>13</v>
      </c>
      <c r="E3" s="4">
        <v>14.037000000000001</v>
      </c>
      <c r="F3" s="4">
        <v>14.164999999999999</v>
      </c>
      <c r="G3" s="4">
        <v>13.972</v>
      </c>
      <c r="H3" s="4">
        <v>13.907</v>
      </c>
      <c r="I3" s="9">
        <f>SUM(E3:H3)</f>
        <v>56.081000000000003</v>
      </c>
      <c r="J3" s="14">
        <f>AVERAGE(E3:H3)</f>
        <v>14.020250000000001</v>
      </c>
      <c r="K3" s="14">
        <f>_xlfn.VAR.S(E3:H3)</f>
        <v>1.2128916666666607E-2</v>
      </c>
    </row>
    <row r="4" spans="1:11" ht="20.25" customHeight="1" x14ac:dyDescent="0.2">
      <c r="A4" s="3" t="s">
        <v>9</v>
      </c>
      <c r="B4" s="7" t="s">
        <v>13</v>
      </c>
      <c r="C4" s="7" t="s">
        <v>12</v>
      </c>
      <c r="D4" s="8" t="s">
        <v>12</v>
      </c>
      <c r="E4" s="4">
        <v>14.821</v>
      </c>
      <c r="F4" s="4">
        <v>14.757</v>
      </c>
      <c r="G4" s="4">
        <v>14.843</v>
      </c>
      <c r="H4" s="4">
        <v>14.878</v>
      </c>
      <c r="I4" s="9">
        <f t="shared" ref="I4:I6" si="0">SUM(E4:H4)</f>
        <v>59.298999999999999</v>
      </c>
      <c r="J4" s="14">
        <f t="shared" ref="J4:J6" si="1">AVERAGE(E4:H4)</f>
        <v>14.82475</v>
      </c>
      <c r="K4" s="14">
        <f t="shared" ref="K4:K6" si="2">_xlfn.VAR.S(E4:H4)</f>
        <v>2.5909166666666858E-3</v>
      </c>
    </row>
    <row r="5" spans="1:11" ht="20.25" customHeight="1" x14ac:dyDescent="0.2">
      <c r="A5" s="3" t="s">
        <v>10</v>
      </c>
      <c r="B5" s="7" t="s">
        <v>12</v>
      </c>
      <c r="C5" s="7" t="s">
        <v>13</v>
      </c>
      <c r="D5" s="8" t="s">
        <v>12</v>
      </c>
      <c r="E5" s="4">
        <v>13.88</v>
      </c>
      <c r="F5" s="4">
        <v>13.86</v>
      </c>
      <c r="G5" s="4">
        <v>14.032</v>
      </c>
      <c r="H5" s="4">
        <v>13.914</v>
      </c>
      <c r="I5" s="9">
        <f t="shared" si="0"/>
        <v>55.686000000000007</v>
      </c>
      <c r="J5" s="14">
        <f t="shared" si="1"/>
        <v>13.921500000000002</v>
      </c>
      <c r="K5" s="14">
        <f t="shared" si="2"/>
        <v>5.9236666666666734E-3</v>
      </c>
    </row>
    <row r="6" spans="1:11" ht="20.25" customHeight="1" x14ac:dyDescent="0.2">
      <c r="A6" s="3" t="s">
        <v>11</v>
      </c>
      <c r="B6" s="7" t="s">
        <v>13</v>
      </c>
      <c r="C6" s="7" t="s">
        <v>13</v>
      </c>
      <c r="D6" s="8" t="s">
        <v>13</v>
      </c>
      <c r="E6" s="4">
        <v>14.888</v>
      </c>
      <c r="F6" s="4">
        <v>14.920999999999999</v>
      </c>
      <c r="G6" s="4">
        <v>14.414999999999999</v>
      </c>
      <c r="H6" s="4">
        <v>14.932</v>
      </c>
      <c r="I6" s="9">
        <f t="shared" si="0"/>
        <v>59.155999999999999</v>
      </c>
      <c r="J6" s="14">
        <f t="shared" si="1"/>
        <v>14.789</v>
      </c>
      <c r="K6" s="14">
        <f t="shared" si="2"/>
        <v>6.2516666666666845E-2</v>
      </c>
    </row>
    <row r="8" spans="1:11" ht="20.25" customHeight="1" x14ac:dyDescent="0.2">
      <c r="I8" s="24" t="s">
        <v>22</v>
      </c>
    </row>
    <row r="9" spans="1:11" ht="20.25" customHeight="1" x14ac:dyDescent="0.2">
      <c r="I9" s="12" t="s">
        <v>14</v>
      </c>
      <c r="J9" s="14">
        <f>1/(2*4)*(I4+I6-I5-I3)</f>
        <v>0.83599999999999852</v>
      </c>
      <c r="K9" s="5" t="s">
        <v>43</v>
      </c>
    </row>
    <row r="10" spans="1:11" ht="20.25" customHeight="1" x14ac:dyDescent="0.2">
      <c r="I10" s="12" t="s">
        <v>15</v>
      </c>
      <c r="J10" s="14">
        <f>1/(2*4)*(I5+I6-I4-I3)</f>
        <v>-6.72499999999987E-2</v>
      </c>
    </row>
    <row r="11" spans="1:11" ht="20.25" customHeight="1" x14ac:dyDescent="0.2">
      <c r="I11" s="12" t="s">
        <v>16</v>
      </c>
      <c r="J11" s="14">
        <f>1/(2*4)*(I6+I3-I4-I5)</f>
        <v>3.1499999999998529E-2</v>
      </c>
    </row>
    <row r="17" spans="7:11" ht="20.25" customHeight="1" x14ac:dyDescent="0.2">
      <c r="I17" s="6" t="s">
        <v>35</v>
      </c>
    </row>
    <row r="18" spans="7:11" ht="20.25" customHeight="1" x14ac:dyDescent="0.2">
      <c r="I18" s="13" t="s">
        <v>19</v>
      </c>
      <c r="J18" s="14">
        <f>(I4+I6-I5-I3)^2/(4*4)</f>
        <v>2.7955839999999901</v>
      </c>
    </row>
    <row r="19" spans="7:11" ht="20.25" customHeight="1" x14ac:dyDescent="0.2">
      <c r="I19" s="13" t="s">
        <v>18</v>
      </c>
      <c r="J19" s="14">
        <f>(I5+I6-I4-I3)^2/(4*4)</f>
        <v>1.8090249999999301E-2</v>
      </c>
    </row>
    <row r="20" spans="7:11" ht="20.25" customHeight="1" x14ac:dyDescent="0.2">
      <c r="I20" s="13" t="s">
        <v>17</v>
      </c>
      <c r="J20" s="14">
        <f>(I6+I3-I4-I5)^2/(4*4)</f>
        <v>3.9689999999996291E-3</v>
      </c>
    </row>
    <row r="27" spans="7:11" ht="20.25" customHeight="1" x14ac:dyDescent="0.2">
      <c r="G27" s="55" t="s">
        <v>36</v>
      </c>
      <c r="H27" s="52"/>
      <c r="I27" s="52"/>
      <c r="J27" s="14">
        <f>AVERAGE(K3:K6)</f>
        <v>2.0790041666666703E-2</v>
      </c>
    </row>
    <row r="28" spans="7:11" ht="20.25" customHeight="1" x14ac:dyDescent="0.2">
      <c r="G28" s="55" t="s">
        <v>37</v>
      </c>
      <c r="H28" s="52" t="s">
        <v>21</v>
      </c>
      <c r="I28" s="52"/>
      <c r="J28" s="21">
        <f>J27/(4*2^(2-2))</f>
        <v>5.1975104166666758E-3</v>
      </c>
      <c r="K28" s="37" t="s">
        <v>44</v>
      </c>
    </row>
    <row r="29" spans="7:11" ht="20.25" customHeight="1" x14ac:dyDescent="0.2">
      <c r="G29" s="55" t="s">
        <v>21</v>
      </c>
      <c r="H29" s="52" t="s">
        <v>21</v>
      </c>
      <c r="I29" s="52"/>
      <c r="J29" s="21">
        <f>SQRT(J28)</f>
        <v>7.2093761288107835E-2</v>
      </c>
      <c r="K29" s="37" t="s">
        <v>45</v>
      </c>
    </row>
    <row r="30" spans="7:11" ht="20.25" customHeight="1" x14ac:dyDescent="0.2">
      <c r="G30" s="56" t="s">
        <v>27</v>
      </c>
      <c r="H30" s="57"/>
      <c r="I30" s="58"/>
      <c r="J30" s="22">
        <f>2^(2)*(4-1)</f>
        <v>12</v>
      </c>
    </row>
    <row r="45" spans="1:10" s="1" customFormat="1" ht="50.25" customHeight="1" x14ac:dyDescent="0.2">
      <c r="A45" s="18" t="s">
        <v>22</v>
      </c>
      <c r="B45" s="18" t="s">
        <v>23</v>
      </c>
      <c r="C45" s="18" t="s">
        <v>24</v>
      </c>
      <c r="D45" s="18" t="s">
        <v>25</v>
      </c>
      <c r="E45" s="19" t="s">
        <v>26</v>
      </c>
      <c r="F45" s="23" t="s">
        <v>28</v>
      </c>
      <c r="G45" s="2"/>
      <c r="H45" s="2"/>
      <c r="I45" s="2"/>
      <c r="J45" s="17"/>
    </row>
    <row r="46" spans="1:10" ht="20.25" customHeight="1" x14ac:dyDescent="0.2">
      <c r="A46" s="3" t="s">
        <v>2</v>
      </c>
      <c r="B46" s="20">
        <f>J9</f>
        <v>0.83599999999999852</v>
      </c>
      <c r="C46" s="20">
        <f>J29</f>
        <v>7.2093761288107835E-2</v>
      </c>
      <c r="D46" s="14">
        <f>B46/C46</f>
        <v>11.596010321324435</v>
      </c>
      <c r="E46" s="14">
        <f>_xlfn.T.DIST.2T(D46, 12)</f>
        <v>7.0759204989125005E-8</v>
      </c>
      <c r="F46" s="38" t="s">
        <v>46</v>
      </c>
    </row>
    <row r="47" spans="1:10" ht="20.25" customHeight="1" x14ac:dyDescent="0.2">
      <c r="A47" s="3" t="s">
        <v>3</v>
      </c>
      <c r="B47" s="20">
        <f t="shared" ref="B47:B48" si="3">J10</f>
        <v>-6.72499999999987E-2</v>
      </c>
      <c r="C47" s="20">
        <f>J29</f>
        <v>7.2093761288107835E-2</v>
      </c>
      <c r="D47" s="14">
        <f>B47/C47</f>
        <v>-0.93281303123092663</v>
      </c>
      <c r="E47" s="14">
        <f>_xlfn.T.DIST.2T(ABS(D47), 12)</f>
        <v>0.36930589589172547</v>
      </c>
      <c r="F47" s="24"/>
    </row>
    <row r="48" spans="1:10" ht="20.25" customHeight="1" x14ac:dyDescent="0.2">
      <c r="A48" s="3" t="s">
        <v>4</v>
      </c>
      <c r="B48" s="20">
        <f t="shared" si="3"/>
        <v>3.1499999999998529E-2</v>
      </c>
      <c r="C48" s="20">
        <f>J29</f>
        <v>7.2093761288107835E-2</v>
      </c>
      <c r="D48" s="14">
        <f>B48/C48</f>
        <v>0.4369310109111284</v>
      </c>
      <c r="E48" s="14">
        <f>_xlfn.T.DIST.2T(D48,12)</f>
        <v>0.66992034912742937</v>
      </c>
      <c r="F48" s="24"/>
    </row>
    <row r="50" spans="1:9" ht="20.25" customHeight="1" x14ac:dyDescent="0.2">
      <c r="A50" s="52" t="s">
        <v>30</v>
      </c>
      <c r="B50" s="52"/>
      <c r="C50" s="9">
        <f>AVERAGE(E3:H6)</f>
        <v>14.388874999999999</v>
      </c>
      <c r="D50" s="37" t="s">
        <v>47</v>
      </c>
    </row>
    <row r="51" spans="1:9" ht="20.25" customHeight="1" x14ac:dyDescent="0.2">
      <c r="A51" s="52" t="s">
        <v>31</v>
      </c>
      <c r="B51" s="54"/>
      <c r="C51" s="9">
        <f>B46/2</f>
        <v>0.41799999999999926</v>
      </c>
      <c r="D51" s="37" t="s">
        <v>48</v>
      </c>
    </row>
    <row r="52" spans="1:9" ht="20.25" customHeight="1" x14ac:dyDescent="0.2">
      <c r="A52" s="52" t="s">
        <v>32</v>
      </c>
      <c r="B52" s="54"/>
      <c r="C52" s="9">
        <f>B47/2</f>
        <v>-3.362499999999935E-2</v>
      </c>
    </row>
    <row r="53" spans="1:9" ht="20.25" customHeight="1" x14ac:dyDescent="0.2">
      <c r="A53" s="52" t="s">
        <v>33</v>
      </c>
      <c r="B53" s="54"/>
      <c r="C53" s="9">
        <f>B48/2</f>
        <v>1.5749999999999265E-2</v>
      </c>
    </row>
    <row r="54" spans="1:9" ht="20.25" customHeight="1" x14ac:dyDescent="0.2">
      <c r="A54" s="5" t="s">
        <v>49</v>
      </c>
    </row>
    <row r="55" spans="1:9" ht="20.25" customHeight="1" x14ac:dyDescent="0.2">
      <c r="A55" s="52" t="s">
        <v>29</v>
      </c>
      <c r="B55" s="52"/>
      <c r="C55" s="53" t="s">
        <v>51</v>
      </c>
      <c r="D55" s="53"/>
      <c r="E55" s="53"/>
      <c r="F55" s="53"/>
      <c r="G55" s="53"/>
      <c r="I55" s="6" t="s">
        <v>50</v>
      </c>
    </row>
    <row r="57" spans="1:9" ht="20.25" customHeight="1" x14ac:dyDescent="0.2">
      <c r="A57" s="5" t="s">
        <v>40</v>
      </c>
      <c r="B57" s="5" t="s">
        <v>41</v>
      </c>
      <c r="C57" s="5" t="s">
        <v>38</v>
      </c>
      <c r="E57" s="6">
        <f>0.418 * (-1) + 14.389</f>
        <v>13.971</v>
      </c>
      <c r="F57" s="39" t="s">
        <v>52</v>
      </c>
      <c r="H57" s="6" t="s">
        <v>53</v>
      </c>
    </row>
    <row r="58" spans="1:9" ht="20.25" customHeight="1" x14ac:dyDescent="0.2">
      <c r="B58" s="5" t="s">
        <v>41</v>
      </c>
      <c r="C58" s="5" t="s">
        <v>39</v>
      </c>
      <c r="E58" s="6">
        <f t="shared" ref="E58" si="4">0.418 * (-1) + 14.389</f>
        <v>13.971</v>
      </c>
    </row>
    <row r="59" spans="1:9" ht="20.25" customHeight="1" x14ac:dyDescent="0.2">
      <c r="B59" s="5" t="s">
        <v>42</v>
      </c>
      <c r="C59" s="5" t="s">
        <v>38</v>
      </c>
      <c r="E59" s="6">
        <f>0.418 * (1) + 14.389</f>
        <v>14.806999999999999</v>
      </c>
    </row>
    <row r="60" spans="1:9" ht="20.25" customHeight="1" x14ac:dyDescent="0.2">
      <c r="B60" s="5" t="s">
        <v>42</v>
      </c>
      <c r="C60" s="5" t="s">
        <v>39</v>
      </c>
      <c r="E60" s="6">
        <f>0.418 * (1) + 14.389</f>
        <v>14.806999999999999</v>
      </c>
    </row>
  </sheetData>
  <mergeCells count="14">
    <mergeCell ref="G27:I27"/>
    <mergeCell ref="G29:I29"/>
    <mergeCell ref="G30:I30"/>
    <mergeCell ref="B1:D1"/>
    <mergeCell ref="A1:A2"/>
    <mergeCell ref="E1:H2"/>
    <mergeCell ref="I1:K1"/>
    <mergeCell ref="G28:I28"/>
    <mergeCell ref="A55:B55"/>
    <mergeCell ref="C55:G55"/>
    <mergeCell ref="A50:B50"/>
    <mergeCell ref="A51:B51"/>
    <mergeCell ref="A52:B52"/>
    <mergeCell ref="A53:B5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00335-89DE-4E14-8936-4A9CDEF10CD5}">
  <dimension ref="A1:I32"/>
  <sheetViews>
    <sheetView topLeftCell="A18" workbookViewId="0">
      <selection activeCell="C13" sqref="C13"/>
    </sheetView>
  </sheetViews>
  <sheetFormatPr baseColWidth="10" defaultColWidth="9.1640625" defaultRowHeight="20.25" customHeight="1" x14ac:dyDescent="0.2"/>
  <cols>
    <col min="1" max="1" width="15.6640625" style="5" customWidth="1"/>
    <col min="2" max="4" width="10.6640625" style="5" customWidth="1"/>
    <col min="5" max="7" width="10.6640625" style="6" customWidth="1"/>
    <col min="8" max="8" width="10.6640625" style="16" customWidth="1"/>
    <col min="9" max="9" width="10.6640625" style="5" customWidth="1"/>
    <col min="10" max="16384" width="9.1640625" style="5"/>
  </cols>
  <sheetData>
    <row r="1" spans="1:9" s="1" customFormat="1" ht="20.25" customHeight="1" x14ac:dyDescent="0.2">
      <c r="A1" s="49" t="s">
        <v>0</v>
      </c>
      <c r="B1" s="49" t="s">
        <v>1</v>
      </c>
      <c r="C1" s="49"/>
      <c r="D1" s="49"/>
      <c r="E1" s="51" t="s">
        <v>34</v>
      </c>
      <c r="F1" s="51"/>
      <c r="G1" s="41" t="s">
        <v>34</v>
      </c>
      <c r="H1" s="42"/>
      <c r="I1" s="43"/>
    </row>
    <row r="2" spans="1:9" ht="20.25" customHeight="1" x14ac:dyDescent="0.2">
      <c r="A2" s="50"/>
      <c r="B2" s="26" t="s">
        <v>2</v>
      </c>
      <c r="C2" s="26" t="s">
        <v>3</v>
      </c>
      <c r="D2" s="26" t="s">
        <v>4</v>
      </c>
      <c r="E2" s="50"/>
      <c r="F2" s="50"/>
      <c r="G2" s="27" t="s">
        <v>6</v>
      </c>
      <c r="H2" s="28" t="s">
        <v>7</v>
      </c>
      <c r="I2" s="27" t="s">
        <v>20</v>
      </c>
    </row>
    <row r="3" spans="1:9" ht="20.25" customHeight="1" x14ac:dyDescent="0.2">
      <c r="A3" s="7" t="s">
        <v>8</v>
      </c>
      <c r="B3" s="7" t="s">
        <v>12</v>
      </c>
      <c r="C3" s="7" t="s">
        <v>12</v>
      </c>
      <c r="D3" s="29" t="s">
        <v>13</v>
      </c>
      <c r="E3" s="25">
        <v>17</v>
      </c>
      <c r="F3" s="25">
        <v>20</v>
      </c>
      <c r="G3" s="30">
        <f>SUM(E3:F3)</f>
        <v>37</v>
      </c>
      <c r="H3" s="31">
        <f>AVERAGE(E3:F3)</f>
        <v>18.5</v>
      </c>
      <c r="I3" s="31">
        <f>_xlfn.VAR.S(E3:F3)</f>
        <v>4.5</v>
      </c>
    </row>
    <row r="4" spans="1:9" ht="20.25" customHeight="1" x14ac:dyDescent="0.2">
      <c r="A4" s="3" t="s">
        <v>9</v>
      </c>
      <c r="B4" s="7" t="s">
        <v>13</v>
      </c>
      <c r="C4" s="7" t="s">
        <v>12</v>
      </c>
      <c r="D4" s="29" t="s">
        <v>12</v>
      </c>
      <c r="E4" s="25">
        <v>16</v>
      </c>
      <c r="F4" s="25">
        <v>12</v>
      </c>
      <c r="G4" s="30">
        <f t="shared" ref="G4:G6" si="0">SUM(E4:F4)</f>
        <v>28</v>
      </c>
      <c r="H4" s="31">
        <f t="shared" ref="H4:H6" si="1">AVERAGE(E4:F4)</f>
        <v>14</v>
      </c>
      <c r="I4" s="31">
        <f t="shared" ref="I4:I6" si="2">_xlfn.VAR.S(E4:F4)</f>
        <v>8</v>
      </c>
    </row>
    <row r="5" spans="1:9" ht="20.25" customHeight="1" x14ac:dyDescent="0.2">
      <c r="A5" s="3" t="s">
        <v>10</v>
      </c>
      <c r="B5" s="7" t="s">
        <v>12</v>
      </c>
      <c r="C5" s="7" t="s">
        <v>13</v>
      </c>
      <c r="D5" s="29" t="s">
        <v>12</v>
      </c>
      <c r="E5" s="25">
        <v>28</v>
      </c>
      <c r="F5" s="25">
        <v>27</v>
      </c>
      <c r="G5" s="30">
        <f t="shared" si="0"/>
        <v>55</v>
      </c>
      <c r="H5" s="31">
        <f t="shared" si="1"/>
        <v>27.5</v>
      </c>
      <c r="I5" s="31">
        <f t="shared" si="2"/>
        <v>0.5</v>
      </c>
    </row>
    <row r="6" spans="1:9" ht="20.25" customHeight="1" x14ac:dyDescent="0.2">
      <c r="A6" s="3" t="s">
        <v>11</v>
      </c>
      <c r="B6" s="7" t="s">
        <v>13</v>
      </c>
      <c r="C6" s="7" t="s">
        <v>13</v>
      </c>
      <c r="D6" s="29" t="s">
        <v>13</v>
      </c>
      <c r="E6" s="25">
        <v>30</v>
      </c>
      <c r="F6" s="25">
        <v>23</v>
      </c>
      <c r="G6" s="30">
        <f t="shared" si="0"/>
        <v>53</v>
      </c>
      <c r="H6" s="31">
        <f t="shared" si="1"/>
        <v>26.5</v>
      </c>
      <c r="I6" s="31">
        <f t="shared" si="2"/>
        <v>24.5</v>
      </c>
    </row>
    <row r="8" spans="1:9" ht="20.25" customHeight="1" x14ac:dyDescent="0.2">
      <c r="A8" s="34" t="s">
        <v>14</v>
      </c>
      <c r="B8" s="31">
        <f>1/(2*E8)*(G4+G6-G5-G3)</f>
        <v>-2.75</v>
      </c>
      <c r="D8" s="5" t="s">
        <v>54</v>
      </c>
      <c r="E8" s="5">
        <f>COUNT(E3:F3)</f>
        <v>2</v>
      </c>
      <c r="F8" s="5"/>
      <c r="G8" s="5"/>
      <c r="H8" s="5"/>
    </row>
    <row r="9" spans="1:9" ht="20.25" customHeight="1" x14ac:dyDescent="0.2">
      <c r="A9" s="34" t="s">
        <v>15</v>
      </c>
      <c r="B9" s="31">
        <f>1/(2*E8)*(G5+G6-G4-G3)</f>
        <v>10.75</v>
      </c>
      <c r="D9" s="5" t="s">
        <v>55</v>
      </c>
      <c r="E9" s="5">
        <v>2</v>
      </c>
      <c r="F9" s="5"/>
      <c r="G9" s="5"/>
      <c r="H9" s="5"/>
    </row>
    <row r="10" spans="1:9" ht="20.25" customHeight="1" x14ac:dyDescent="0.2">
      <c r="A10" s="34" t="s">
        <v>16</v>
      </c>
      <c r="B10" s="31">
        <f>1/(2*E8)*(G6+G3-G4-G5)</f>
        <v>1.75</v>
      </c>
      <c r="E10" s="5"/>
      <c r="F10" s="5"/>
      <c r="G10" s="5"/>
      <c r="H10" s="5"/>
    </row>
    <row r="11" spans="1:9" ht="20.25" customHeight="1" x14ac:dyDescent="0.2">
      <c r="D11" s="5" t="s">
        <v>56</v>
      </c>
    </row>
    <row r="12" spans="1:9" ht="20.25" customHeight="1" x14ac:dyDescent="0.2">
      <c r="A12" s="44" t="s">
        <v>57</v>
      </c>
      <c r="B12" s="45"/>
      <c r="C12" s="31">
        <f>AVERAGE(I3:I6)</f>
        <v>9.375</v>
      </c>
      <c r="E12" s="5"/>
      <c r="F12" s="5"/>
      <c r="G12" s="5"/>
      <c r="H12" s="5"/>
    </row>
    <row r="13" spans="1:9" ht="20.25" customHeight="1" x14ac:dyDescent="0.2">
      <c r="A13" s="46" t="s">
        <v>21</v>
      </c>
      <c r="B13" s="45"/>
      <c r="C13" s="32">
        <f>SQRT((C12)/(E8*2^(E9-2)))</f>
        <v>2.1650635094610968</v>
      </c>
      <c r="E13" s="5"/>
      <c r="F13" s="5"/>
      <c r="G13" s="5"/>
      <c r="H13" s="5"/>
    </row>
    <row r="14" spans="1:9" ht="20.25" customHeight="1" x14ac:dyDescent="0.2">
      <c r="A14" s="44" t="s">
        <v>27</v>
      </c>
      <c r="B14" s="45"/>
      <c r="C14" s="30">
        <f>2^E9*(E8-1)</f>
        <v>4</v>
      </c>
      <c r="E14" s="5"/>
      <c r="F14" s="5"/>
      <c r="G14" s="5"/>
      <c r="H14" s="5"/>
    </row>
    <row r="17" spans="1:9" s="1" customFormat="1" ht="50.25" customHeight="1" x14ac:dyDescent="0.2">
      <c r="A17" s="35" t="s">
        <v>22</v>
      </c>
      <c r="B17" s="35" t="s">
        <v>23</v>
      </c>
      <c r="C17" s="35" t="s">
        <v>24</v>
      </c>
      <c r="D17" s="35" t="s">
        <v>25</v>
      </c>
      <c r="E17" s="36" t="s">
        <v>26</v>
      </c>
      <c r="F17" s="23" t="s">
        <v>28</v>
      </c>
      <c r="G17" s="2"/>
      <c r="H17" s="17"/>
    </row>
    <row r="18" spans="1:9" ht="20.25" customHeight="1" x14ac:dyDescent="0.2">
      <c r="A18" s="3" t="s">
        <v>2</v>
      </c>
      <c r="B18" s="20">
        <f>B8</f>
        <v>-2.75</v>
      </c>
      <c r="C18" s="20">
        <f>C13</f>
        <v>2.1650635094610968</v>
      </c>
      <c r="D18" s="31">
        <f>B18/C18</f>
        <v>-1.2701705922171767</v>
      </c>
      <c r="E18" s="31">
        <f>_xlfn.T.DIST.2T(ABS(D18),C14)</f>
        <v>0.27288073795194623</v>
      </c>
      <c r="F18" s="24"/>
    </row>
    <row r="19" spans="1:9" ht="20.25" customHeight="1" x14ac:dyDescent="0.2">
      <c r="A19" s="3" t="s">
        <v>3</v>
      </c>
      <c r="B19" s="20">
        <f>B9</f>
        <v>10.75</v>
      </c>
      <c r="C19" s="20">
        <f>C13</f>
        <v>2.1650635094610968</v>
      </c>
      <c r="D19" s="31">
        <f t="shared" ref="D19:D20" si="3">B19/C19</f>
        <v>4.9652123150307812</v>
      </c>
      <c r="E19" s="31">
        <f>_xlfn.T.DIST.2T(ABS(D19),C14)</f>
        <v>7.6775801621824036E-3</v>
      </c>
      <c r="F19" s="24" t="s">
        <v>46</v>
      </c>
      <c r="G19" s="6" t="s">
        <v>59</v>
      </c>
    </row>
    <row r="20" spans="1:9" ht="20.25" customHeight="1" x14ac:dyDescent="0.2">
      <c r="A20" s="3" t="s">
        <v>4</v>
      </c>
      <c r="B20" s="20">
        <f>B10</f>
        <v>1.75</v>
      </c>
      <c r="C20" s="20">
        <f>C13</f>
        <v>2.1650635094610968</v>
      </c>
      <c r="D20" s="31">
        <f t="shared" si="3"/>
        <v>0.808290376865476</v>
      </c>
      <c r="E20" s="31">
        <f>_xlfn.T.DIST.2T(ABS(D20),C14)</f>
        <v>0.46425213971069967</v>
      </c>
      <c r="F20" s="24"/>
    </row>
    <row r="22" spans="1:9" s="6" customFormat="1" ht="20.25" customHeight="1" x14ac:dyDescent="0.2">
      <c r="A22" s="34" t="s">
        <v>30</v>
      </c>
      <c r="B22" s="33">
        <f>AVERAGE(E3:F6)</f>
        <v>21.625</v>
      </c>
      <c r="C22" s="5"/>
      <c r="G22" s="16"/>
      <c r="H22" s="5"/>
    </row>
    <row r="23" spans="1:9" s="6" customFormat="1" ht="20.25" customHeight="1" x14ac:dyDescent="0.2">
      <c r="A23" s="34" t="s">
        <v>31</v>
      </c>
      <c r="B23" s="33">
        <f>B18/2</f>
        <v>-1.375</v>
      </c>
      <c r="C23" s="5"/>
      <c r="G23" s="16"/>
      <c r="H23" s="5"/>
    </row>
    <row r="24" spans="1:9" s="6" customFormat="1" ht="20.25" customHeight="1" x14ac:dyDescent="0.2">
      <c r="A24" s="34" t="s">
        <v>32</v>
      </c>
      <c r="B24" s="33">
        <f>B19/2</f>
        <v>5.375</v>
      </c>
      <c r="C24" s="5"/>
      <c r="G24" s="16"/>
      <c r="H24" s="5"/>
    </row>
    <row r="25" spans="1:9" s="6" customFormat="1" ht="20.25" customHeight="1" x14ac:dyDescent="0.2">
      <c r="A25" s="34" t="s">
        <v>33</v>
      </c>
      <c r="B25" s="33">
        <f>B20/2</f>
        <v>0.875</v>
      </c>
      <c r="C25" s="5"/>
      <c r="G25" s="16"/>
      <c r="H25" s="5"/>
    </row>
    <row r="27" spans="1:9" s="6" customFormat="1" ht="20.25" customHeight="1" x14ac:dyDescent="0.2">
      <c r="A27" s="47" t="s">
        <v>29</v>
      </c>
      <c r="B27" s="47"/>
      <c r="C27" s="48" t="s">
        <v>58</v>
      </c>
      <c r="D27" s="48"/>
      <c r="E27" s="48"/>
      <c r="F27" s="48"/>
      <c r="H27" s="16"/>
      <c r="I27" s="5"/>
    </row>
    <row r="29" spans="1:9" ht="20.25" customHeight="1" x14ac:dyDescent="0.2">
      <c r="A29" s="5" t="s">
        <v>40</v>
      </c>
      <c r="B29" s="5" t="s">
        <v>41</v>
      </c>
      <c r="C29" s="5" t="s">
        <v>38</v>
      </c>
      <c r="E29" s="6">
        <f xml:space="preserve"> 5.375 *( -1)+ 21.625</f>
        <v>16.25</v>
      </c>
    </row>
    <row r="30" spans="1:9" ht="20.25" customHeight="1" x14ac:dyDescent="0.2">
      <c r="B30" s="5" t="s">
        <v>41</v>
      </c>
      <c r="C30" s="5" t="s">
        <v>39</v>
      </c>
      <c r="E30" s="40">
        <f xml:space="preserve"> 5.375 *( 1)+ 21.625</f>
        <v>27</v>
      </c>
    </row>
    <row r="31" spans="1:9" ht="20.25" customHeight="1" x14ac:dyDescent="0.2">
      <c r="B31" s="5" t="s">
        <v>42</v>
      </c>
      <c r="C31" s="5" t="s">
        <v>38</v>
      </c>
      <c r="E31" s="6">
        <f>E29</f>
        <v>16.25</v>
      </c>
    </row>
    <row r="32" spans="1:9" ht="20.25" customHeight="1" x14ac:dyDescent="0.2">
      <c r="B32" s="5" t="s">
        <v>42</v>
      </c>
      <c r="C32" s="5" t="s">
        <v>39</v>
      </c>
      <c r="E32" s="6">
        <f>E30</f>
        <v>27</v>
      </c>
    </row>
  </sheetData>
  <mergeCells count="9">
    <mergeCell ref="G1:I1"/>
    <mergeCell ref="A12:B12"/>
    <mergeCell ref="A13:B13"/>
    <mergeCell ref="A14:B14"/>
    <mergeCell ref="A27:B27"/>
    <mergeCell ref="C27:F27"/>
    <mergeCell ref="A1:A2"/>
    <mergeCell ref="B1:D1"/>
    <mergeCell ref="E1:F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7CD6-71AD-B243-8768-B066B0B62215}">
  <dimension ref="A1:K32"/>
  <sheetViews>
    <sheetView tabSelected="1" topLeftCell="A19" workbookViewId="0">
      <selection activeCell="G20" sqref="G20"/>
    </sheetView>
  </sheetViews>
  <sheetFormatPr baseColWidth="10" defaultColWidth="9.1640625" defaultRowHeight="20.25" customHeight="1" x14ac:dyDescent="0.2"/>
  <cols>
    <col min="1" max="1" width="15.6640625" style="5" customWidth="1"/>
    <col min="2" max="4" width="10.6640625" style="5" customWidth="1"/>
    <col min="5" max="7" width="10.6640625" style="6" customWidth="1"/>
    <col min="8" max="8" width="10.6640625" style="16" customWidth="1"/>
    <col min="9" max="9" width="10.6640625" style="5" customWidth="1"/>
    <col min="10" max="16384" width="9.1640625" style="5"/>
  </cols>
  <sheetData>
    <row r="1" spans="1:11" s="1" customFormat="1" ht="20.25" customHeight="1" x14ac:dyDescent="0.2">
      <c r="A1" s="49" t="s">
        <v>0</v>
      </c>
      <c r="B1" s="49" t="s">
        <v>1</v>
      </c>
      <c r="C1" s="49"/>
      <c r="D1" s="49"/>
      <c r="E1" s="51" t="s">
        <v>34</v>
      </c>
      <c r="F1" s="51"/>
      <c r="G1" s="41" t="s">
        <v>34</v>
      </c>
      <c r="H1" s="42"/>
      <c r="I1" s="43"/>
    </row>
    <row r="2" spans="1:11" ht="20.25" customHeight="1" x14ac:dyDescent="0.2">
      <c r="A2" s="50"/>
      <c r="B2" s="26" t="s">
        <v>2</v>
      </c>
      <c r="C2" s="26" t="s">
        <v>3</v>
      </c>
      <c r="D2" s="26" t="s">
        <v>4</v>
      </c>
      <c r="E2" s="50"/>
      <c r="F2" s="50"/>
      <c r="G2" s="27" t="s">
        <v>6</v>
      </c>
      <c r="H2" s="28" t="s">
        <v>7</v>
      </c>
      <c r="I2" s="27" t="s">
        <v>20</v>
      </c>
    </row>
    <row r="3" spans="1:11" ht="20.25" customHeight="1" x14ac:dyDescent="0.2">
      <c r="A3" s="7" t="s">
        <v>8</v>
      </c>
      <c r="B3" s="7" t="s">
        <v>12</v>
      </c>
      <c r="C3" s="7" t="s">
        <v>12</v>
      </c>
      <c r="D3" s="29" t="s">
        <v>13</v>
      </c>
      <c r="E3" s="25">
        <v>17</v>
      </c>
      <c r="F3" s="25">
        <v>20</v>
      </c>
      <c r="G3" s="30">
        <f>SUM(E3:F3)</f>
        <v>37</v>
      </c>
      <c r="H3" s="31">
        <f>AVERAGE(E3:F3)</f>
        <v>18.5</v>
      </c>
      <c r="I3" s="31">
        <f>_xlfn.VAR.S(E3:F3)</f>
        <v>4.5</v>
      </c>
    </row>
    <row r="4" spans="1:11" ht="20.25" customHeight="1" x14ac:dyDescent="0.2">
      <c r="A4" s="3" t="s">
        <v>9</v>
      </c>
      <c r="B4" s="7" t="s">
        <v>13</v>
      </c>
      <c r="C4" s="7" t="s">
        <v>12</v>
      </c>
      <c r="D4" s="29" t="s">
        <v>12</v>
      </c>
      <c r="E4" s="25">
        <v>16</v>
      </c>
      <c r="F4" s="25">
        <v>12</v>
      </c>
      <c r="G4" s="30">
        <f t="shared" ref="G4:G6" si="0">SUM(E4:F4)</f>
        <v>28</v>
      </c>
      <c r="H4" s="31">
        <f t="shared" ref="H4:H6" si="1">AVERAGE(E4:F4)</f>
        <v>14</v>
      </c>
      <c r="I4" s="31">
        <f t="shared" ref="I4:I6" si="2">_xlfn.VAR.S(E4:F4)</f>
        <v>8</v>
      </c>
    </row>
    <row r="5" spans="1:11" ht="20.25" customHeight="1" x14ac:dyDescent="0.2">
      <c r="A5" s="3" t="s">
        <v>10</v>
      </c>
      <c r="B5" s="7" t="s">
        <v>12</v>
      </c>
      <c r="C5" s="7" t="s">
        <v>13</v>
      </c>
      <c r="D5" s="29" t="s">
        <v>12</v>
      </c>
      <c r="E5" s="25">
        <v>28</v>
      </c>
      <c r="F5" s="25">
        <v>27</v>
      </c>
      <c r="G5" s="30">
        <f t="shared" si="0"/>
        <v>55</v>
      </c>
      <c r="H5" s="31">
        <f t="shared" si="1"/>
        <v>27.5</v>
      </c>
      <c r="I5" s="31">
        <f t="shared" si="2"/>
        <v>0.5</v>
      </c>
    </row>
    <row r="6" spans="1:11" ht="20.25" customHeight="1" x14ac:dyDescent="0.2">
      <c r="A6" s="3" t="s">
        <v>11</v>
      </c>
      <c r="B6" s="7" t="s">
        <v>13</v>
      </c>
      <c r="C6" s="7" t="s">
        <v>13</v>
      </c>
      <c r="D6" s="29" t="s">
        <v>13</v>
      </c>
      <c r="E6" s="25">
        <v>30</v>
      </c>
      <c r="F6" s="25">
        <v>23</v>
      </c>
      <c r="G6" s="30">
        <f t="shared" si="0"/>
        <v>53</v>
      </c>
      <c r="H6" s="31">
        <f t="shared" si="1"/>
        <v>26.5</v>
      </c>
      <c r="I6" s="31">
        <f t="shared" si="2"/>
        <v>24.5</v>
      </c>
    </row>
    <row r="8" spans="1:11" ht="20.25" customHeight="1" x14ac:dyDescent="0.2">
      <c r="A8" s="34"/>
      <c r="B8" s="31"/>
      <c r="D8" s="5" t="s">
        <v>61</v>
      </c>
      <c r="E8" s="5">
        <f>COUNT(E3:F3)</f>
        <v>2</v>
      </c>
      <c r="F8" s="5" t="s">
        <v>64</v>
      </c>
      <c r="G8" s="16">
        <f>AVERAGE(I3:I6)</f>
        <v>9.375</v>
      </c>
      <c r="H8" s="16" t="s">
        <v>68</v>
      </c>
      <c r="I8" s="5">
        <f>2^E8*(E9-1)</f>
        <v>4</v>
      </c>
    </row>
    <row r="9" spans="1:11" ht="20.25" customHeight="1" x14ac:dyDescent="0.2">
      <c r="A9" s="34"/>
      <c r="B9" s="31"/>
      <c r="D9" s="5" t="s">
        <v>62</v>
      </c>
      <c r="E9" s="5">
        <v>2</v>
      </c>
      <c r="F9" s="5" t="s">
        <v>63</v>
      </c>
      <c r="G9" s="5">
        <f>SQRT(G8/(E9*2^(E8-2)))</f>
        <v>2.1650635094610968</v>
      </c>
      <c r="H9" s="16" t="s">
        <v>69</v>
      </c>
      <c r="I9" s="5">
        <v>0.05</v>
      </c>
    </row>
    <row r="10" spans="1:11" ht="20.25" customHeight="1" x14ac:dyDescent="0.2">
      <c r="A10" s="34"/>
      <c r="B10" s="31"/>
    </row>
    <row r="12" spans="1:11" ht="20.25" customHeight="1" x14ac:dyDescent="0.2">
      <c r="A12" s="44"/>
      <c r="B12" s="45"/>
      <c r="C12" s="31"/>
      <c r="E12" s="5"/>
      <c r="F12" s="5" t="s">
        <v>60</v>
      </c>
      <c r="G12" s="5"/>
      <c r="H12" s="5" t="s">
        <v>65</v>
      </c>
      <c r="I12" s="5" t="s">
        <v>66</v>
      </c>
      <c r="J12" s="5" t="s">
        <v>67</v>
      </c>
      <c r="K12" s="5" t="s">
        <v>70</v>
      </c>
    </row>
    <row r="13" spans="1:11" ht="20.25" customHeight="1" x14ac:dyDescent="0.2">
      <c r="A13" s="46"/>
      <c r="B13" s="45"/>
      <c r="C13" s="32"/>
      <c r="F13" s="5" t="s">
        <v>2</v>
      </c>
      <c r="G13" s="5">
        <f>1/(2*E9)*(G4+G6-G5-G3)</f>
        <v>-2.75</v>
      </c>
      <c r="H13" s="5">
        <f>$G$9</f>
        <v>2.1650635094610968</v>
      </c>
      <c r="I13" s="5">
        <f>G13/H13</f>
        <v>-1.2701705922171767</v>
      </c>
      <c r="J13" s="5">
        <f>_xlfn.T.DIST.2T(ABS(I13), $I$8)</f>
        <v>0.27288073795194623</v>
      </c>
    </row>
    <row r="14" spans="1:11" ht="20.25" customHeight="1" x14ac:dyDescent="0.2">
      <c r="A14" s="44"/>
      <c r="B14" s="45"/>
      <c r="C14" s="30"/>
      <c r="F14" s="5" t="s">
        <v>3</v>
      </c>
      <c r="G14" s="5">
        <f>1/(2*E9)*(G5+G6-G4-G3)</f>
        <v>10.75</v>
      </c>
      <c r="H14" s="5">
        <f>$G$9</f>
        <v>2.1650635094610968</v>
      </c>
      <c r="I14" s="5">
        <f t="shared" ref="I14:I15" si="3">G14/H14</f>
        <v>4.9652123150307812</v>
      </c>
      <c r="J14" s="5">
        <f t="shared" ref="J14:J15" si="4">_xlfn.T.DIST.2T(ABS(I14), $I$8)</f>
        <v>7.6775801621824036E-3</v>
      </c>
      <c r="K14" s="5" t="s">
        <v>46</v>
      </c>
    </row>
    <row r="15" spans="1:11" ht="20.25" customHeight="1" x14ac:dyDescent="0.2">
      <c r="F15" s="6" t="s">
        <v>4</v>
      </c>
      <c r="G15" s="6">
        <f>1/(2*E9)*(G6+G3-G4-G5)</f>
        <v>1.75</v>
      </c>
      <c r="H15" s="5">
        <f>$G$9</f>
        <v>2.1650635094610968</v>
      </c>
      <c r="I15" s="5">
        <f t="shared" si="3"/>
        <v>0.808290376865476</v>
      </c>
      <c r="J15" s="5">
        <f t="shared" si="4"/>
        <v>0.46425213971069967</v>
      </c>
    </row>
    <row r="17" spans="1:9" s="1" customFormat="1" ht="50.25" customHeight="1" x14ac:dyDescent="0.2">
      <c r="A17" s="35"/>
      <c r="B17" s="35"/>
      <c r="C17" s="35"/>
      <c r="D17" s="35"/>
      <c r="E17" s="36"/>
      <c r="F17" s="23"/>
      <c r="G17" s="2"/>
      <c r="H17" s="17"/>
    </row>
    <row r="18" spans="1:9" ht="20.25" customHeight="1" x14ac:dyDescent="0.2">
      <c r="A18" s="3"/>
      <c r="B18" s="20"/>
      <c r="C18" s="20"/>
      <c r="D18" s="31"/>
      <c r="E18" s="31"/>
      <c r="F18" s="24"/>
      <c r="G18" s="6" t="s">
        <v>71</v>
      </c>
    </row>
    <row r="19" spans="1:9" ht="20.25" customHeight="1" x14ac:dyDescent="0.2">
      <c r="A19" s="3"/>
      <c r="B19" s="20"/>
      <c r="C19" s="20"/>
      <c r="D19" s="31"/>
      <c r="E19" s="31"/>
      <c r="F19" s="24"/>
    </row>
    <row r="20" spans="1:9" ht="20.25" customHeight="1" x14ac:dyDescent="0.2">
      <c r="A20" s="3"/>
      <c r="B20" s="20"/>
      <c r="C20" s="20"/>
      <c r="D20" s="31"/>
      <c r="E20" s="31"/>
      <c r="F20" s="24" t="s">
        <v>3</v>
      </c>
      <c r="G20" s="6">
        <f>G14/2</f>
        <v>5.375</v>
      </c>
    </row>
    <row r="22" spans="1:9" s="6" customFormat="1" ht="20.25" customHeight="1" x14ac:dyDescent="0.2">
      <c r="A22" s="34"/>
      <c r="B22" s="33"/>
      <c r="C22" s="5"/>
      <c r="F22" s="6" t="s">
        <v>72</v>
      </c>
      <c r="G22" s="65">
        <f>AVERAGE(E3:F6)</f>
        <v>21.625</v>
      </c>
    </row>
    <row r="23" spans="1:9" s="6" customFormat="1" ht="20.25" customHeight="1" x14ac:dyDescent="0.2">
      <c r="A23" s="34"/>
      <c r="B23" s="33"/>
      <c r="C23" s="5"/>
      <c r="G23" s="16"/>
      <c r="H23" s="5"/>
    </row>
    <row r="24" spans="1:9" s="6" customFormat="1" ht="20.25" customHeight="1" x14ac:dyDescent="0.2">
      <c r="A24" s="34"/>
      <c r="B24" s="33"/>
      <c r="C24" s="5"/>
      <c r="F24" s="6" t="s">
        <v>73</v>
      </c>
      <c r="G24" s="16" t="s">
        <v>74</v>
      </c>
      <c r="H24" s="5"/>
    </row>
    <row r="25" spans="1:9" s="6" customFormat="1" ht="20.25" customHeight="1" x14ac:dyDescent="0.2">
      <c r="A25" s="34"/>
      <c r="B25" s="33"/>
      <c r="C25" s="5"/>
      <c r="G25" s="16"/>
      <c r="H25" s="5"/>
    </row>
    <row r="27" spans="1:9" s="6" customFormat="1" ht="20.25" customHeight="1" x14ac:dyDescent="0.2">
      <c r="A27" s="47"/>
      <c r="B27" s="47"/>
      <c r="C27" s="48" t="s">
        <v>74</v>
      </c>
      <c r="D27" s="48"/>
      <c r="E27" s="48"/>
      <c r="F27" s="48"/>
      <c r="H27" s="16"/>
      <c r="I27" s="5"/>
    </row>
    <row r="29" spans="1:9" ht="20.25" customHeight="1" x14ac:dyDescent="0.2">
      <c r="A29" s="5" t="s">
        <v>40</v>
      </c>
      <c r="B29" s="5" t="s">
        <v>41</v>
      </c>
      <c r="C29" s="5" t="s">
        <v>38</v>
      </c>
      <c r="E29" s="6">
        <f>5.375*(-1)+22</f>
        <v>16.625</v>
      </c>
    </row>
    <row r="30" spans="1:9" ht="20.25" customHeight="1" x14ac:dyDescent="0.2">
      <c r="B30" s="5" t="s">
        <v>41</v>
      </c>
      <c r="C30" s="5" t="s">
        <v>39</v>
      </c>
      <c r="E30" s="6">
        <f>5.375*(1)+22</f>
        <v>27.375</v>
      </c>
    </row>
    <row r="31" spans="1:9" ht="20.25" customHeight="1" x14ac:dyDescent="0.2">
      <c r="B31" s="5" t="s">
        <v>42</v>
      </c>
      <c r="C31" s="5" t="s">
        <v>38</v>
      </c>
      <c r="E31" s="6">
        <f>5.375*(-1)+22</f>
        <v>16.625</v>
      </c>
    </row>
    <row r="32" spans="1:9" ht="20.25" customHeight="1" x14ac:dyDescent="0.2">
      <c r="B32" s="5" t="s">
        <v>42</v>
      </c>
      <c r="C32" s="5" t="s">
        <v>39</v>
      </c>
      <c r="E32" s="40">
        <v>27.375</v>
      </c>
    </row>
  </sheetData>
  <mergeCells count="9">
    <mergeCell ref="A14:B14"/>
    <mergeCell ref="A27:B27"/>
    <mergeCell ref="C27:F27"/>
    <mergeCell ref="A1:A2"/>
    <mergeCell ref="B1:D1"/>
    <mergeCell ref="E1:F2"/>
    <mergeCell ref="G1:I1"/>
    <mergeCell ref="A12:B12"/>
    <mergeCell ref="A13:B1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Thickness</vt:lpstr>
      <vt:lpstr>Wraping</vt:lpstr>
      <vt:lpstr>Wraping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2022-07-03T11:05:07Z</dcterms:created>
  <dcterms:modified xsi:type="dcterms:W3CDTF">2026-07-13T17:04:57Z</dcterms:modified>
</cp:coreProperties>
</file>