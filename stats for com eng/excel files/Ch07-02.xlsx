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4A3EE7EE-A22B-CC41-A6EC-10A83500258A}" xr6:coauthVersionLast="47" xr6:coauthVersionMax="47" xr10:uidLastSave="{00000000-0000-0000-0000-000000000000}"/>
  <bookViews>
    <workbookView xWindow="0" yWindow="600" windowWidth="20480" windowHeight="11000" activeTab="2" xr2:uid="{03B4F964-AA62-42B4-B9BD-0893A8980E7C}"/>
  </bookViews>
  <sheets>
    <sheet name="Roughness" sheetId="1" r:id="rId1"/>
    <sheet name="Plasma-1" sheetId="3" r:id="rId2"/>
    <sheet name="Plasma-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N10" i="1"/>
  <c r="B51" i="2"/>
  <c r="B50" i="2"/>
  <c r="B49" i="2"/>
  <c r="B48" i="2"/>
  <c r="B47" i="2"/>
  <c r="O45" i="2"/>
  <c r="P45" i="2"/>
  <c r="Q45" i="2"/>
  <c r="R45" i="2"/>
  <c r="N45" i="2"/>
  <c r="O44" i="2"/>
  <c r="P44" i="2"/>
  <c r="Q44" i="2"/>
  <c r="R44" i="2"/>
  <c r="N44" i="2"/>
  <c r="O43" i="2"/>
  <c r="P43" i="2"/>
  <c r="Q43" i="2"/>
  <c r="R43" i="2"/>
  <c r="O42" i="2"/>
  <c r="P42" i="2"/>
  <c r="Q42" i="2"/>
  <c r="R42" i="2"/>
  <c r="R41" i="2"/>
  <c r="O41" i="2"/>
  <c r="P41" i="2"/>
  <c r="Q41" i="2"/>
  <c r="O40" i="2"/>
  <c r="P40" i="2"/>
  <c r="Q40" i="2"/>
  <c r="R40" i="2"/>
  <c r="N41" i="2"/>
  <c r="N42" i="2"/>
  <c r="N43" i="2"/>
  <c r="O39" i="2"/>
  <c r="P39" i="2"/>
  <c r="Q39" i="2"/>
  <c r="R39" i="2"/>
  <c r="O38" i="2"/>
  <c r="P38" i="2"/>
  <c r="Q38" i="2"/>
  <c r="R38" i="2"/>
  <c r="O37" i="2"/>
  <c r="P37" i="2"/>
  <c r="Q37" i="2"/>
  <c r="R37" i="2"/>
  <c r="N40" i="2"/>
  <c r="N39" i="2"/>
  <c r="N38" i="2"/>
  <c r="N37" i="2"/>
  <c r="O36" i="2"/>
  <c r="P36" i="2"/>
  <c r="Q36" i="2"/>
  <c r="R36" i="2"/>
  <c r="N36" i="2"/>
  <c r="E45" i="2"/>
  <c r="D45" i="2"/>
  <c r="C45" i="2"/>
  <c r="B45" i="2"/>
  <c r="O27" i="2"/>
  <c r="O28" i="2"/>
  <c r="O29" i="2"/>
  <c r="O30" i="2"/>
  <c r="O31" i="2"/>
  <c r="O32" i="2"/>
  <c r="O33" i="2"/>
  <c r="N27" i="2"/>
  <c r="N28" i="2"/>
  <c r="N29" i="2"/>
  <c r="N30" i="2"/>
  <c r="N31" i="2"/>
  <c r="N32" i="2"/>
  <c r="N33" i="2"/>
  <c r="M27" i="2"/>
  <c r="M28" i="2"/>
  <c r="M29" i="2"/>
  <c r="M30" i="2"/>
  <c r="M31" i="2"/>
  <c r="M32" i="2"/>
  <c r="M33" i="2"/>
  <c r="L27" i="2"/>
  <c r="L28" i="2"/>
  <c r="L29" i="2"/>
  <c r="L30" i="2"/>
  <c r="L31" i="2"/>
  <c r="L32" i="2"/>
  <c r="L33" i="2"/>
  <c r="K27" i="2"/>
  <c r="K28" i="2"/>
  <c r="K29" i="2"/>
  <c r="K30" i="2"/>
  <c r="K31" i="2"/>
  <c r="K32" i="2"/>
  <c r="K33" i="2"/>
  <c r="O26" i="2"/>
  <c r="N26" i="2"/>
  <c r="M26" i="2"/>
  <c r="L26" i="2"/>
  <c r="K26" i="2"/>
  <c r="C44" i="2"/>
  <c r="D44" i="2"/>
  <c r="E44" i="2"/>
  <c r="B44" i="2"/>
  <c r="B37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B42" i="2"/>
  <c r="C42" i="2"/>
  <c r="D42" i="2"/>
  <c r="E42" i="2"/>
  <c r="B43" i="2"/>
  <c r="C43" i="2"/>
  <c r="D43" i="2"/>
  <c r="E43" i="2"/>
  <c r="C36" i="2"/>
  <c r="D36" i="2"/>
  <c r="E36" i="2"/>
  <c r="B36" i="2"/>
  <c r="E27" i="2"/>
  <c r="E28" i="2"/>
  <c r="E29" i="2"/>
  <c r="E30" i="2"/>
  <c r="E31" i="2"/>
  <c r="E32" i="2"/>
  <c r="E33" i="2"/>
  <c r="E26" i="2"/>
  <c r="R43" i="3"/>
  <c r="B49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J9" i="3"/>
  <c r="J27" i="3" s="1"/>
  <c r="J10" i="3"/>
  <c r="J28" i="3" s="1"/>
  <c r="J11" i="3"/>
  <c r="J29" i="3" s="1"/>
  <c r="J12" i="3"/>
  <c r="J13" i="3"/>
  <c r="J14" i="3"/>
  <c r="J15" i="3"/>
  <c r="J16" i="3"/>
  <c r="J17" i="3"/>
  <c r="J18" i="3"/>
  <c r="J19" i="3"/>
  <c r="J20" i="3"/>
  <c r="J21" i="3"/>
  <c r="J22" i="3"/>
  <c r="J23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L8" i="3"/>
  <c r="L26" i="3" s="1"/>
  <c r="L42" i="3" s="1"/>
  <c r="K8" i="3"/>
  <c r="K26" i="3" s="1"/>
  <c r="J8" i="3"/>
  <c r="J26" i="3" s="1"/>
  <c r="I8" i="3"/>
  <c r="I26" i="3" s="1"/>
  <c r="I42" i="3" s="1"/>
  <c r="H8" i="3"/>
  <c r="H26" i="3" s="1"/>
  <c r="H42" i="3" s="1"/>
  <c r="E44" i="3"/>
  <c r="F44" i="3"/>
  <c r="G44" i="3"/>
  <c r="N44" i="3"/>
  <c r="O44" i="3"/>
  <c r="P44" i="3"/>
  <c r="Q44" i="3"/>
  <c r="R44" i="3"/>
  <c r="E43" i="3"/>
  <c r="F43" i="3"/>
  <c r="G43" i="3"/>
  <c r="N43" i="3"/>
  <c r="O43" i="3"/>
  <c r="P43" i="3"/>
  <c r="Q43" i="3"/>
  <c r="D27" i="3"/>
  <c r="E27" i="3"/>
  <c r="F27" i="3"/>
  <c r="G27" i="3"/>
  <c r="D28" i="3"/>
  <c r="E28" i="3"/>
  <c r="F28" i="3"/>
  <c r="G28" i="3"/>
  <c r="D29" i="3"/>
  <c r="E29" i="3"/>
  <c r="F29" i="3"/>
  <c r="G29" i="3"/>
  <c r="D30" i="3"/>
  <c r="E30" i="3"/>
  <c r="F30" i="3"/>
  <c r="G30" i="3"/>
  <c r="D31" i="3"/>
  <c r="E31" i="3"/>
  <c r="F31" i="3"/>
  <c r="G31" i="3"/>
  <c r="D32" i="3"/>
  <c r="E32" i="3"/>
  <c r="F32" i="3"/>
  <c r="G32" i="3"/>
  <c r="D33" i="3"/>
  <c r="E33" i="3"/>
  <c r="F33" i="3"/>
  <c r="G33" i="3"/>
  <c r="D34" i="3"/>
  <c r="E34" i="3"/>
  <c r="F34" i="3"/>
  <c r="G34" i="3"/>
  <c r="D35" i="3"/>
  <c r="E35" i="3"/>
  <c r="F35" i="3"/>
  <c r="G35" i="3"/>
  <c r="D36" i="3"/>
  <c r="E36" i="3"/>
  <c r="F36" i="3"/>
  <c r="G36" i="3"/>
  <c r="D37" i="3"/>
  <c r="E37" i="3"/>
  <c r="F37" i="3"/>
  <c r="G37" i="3"/>
  <c r="D38" i="3"/>
  <c r="E38" i="3"/>
  <c r="F38" i="3"/>
  <c r="G38" i="3"/>
  <c r="D39" i="3"/>
  <c r="E39" i="3"/>
  <c r="F39" i="3"/>
  <c r="G39" i="3"/>
  <c r="D40" i="3"/>
  <c r="E40" i="3"/>
  <c r="F40" i="3"/>
  <c r="G40" i="3"/>
  <c r="D41" i="3"/>
  <c r="E41" i="3"/>
  <c r="F41" i="3"/>
  <c r="G41" i="3"/>
  <c r="E26" i="3"/>
  <c r="E42" i="3" s="1"/>
  <c r="F26" i="3"/>
  <c r="F42" i="3" s="1"/>
  <c r="G26" i="3"/>
  <c r="G42" i="3" s="1"/>
  <c r="D26" i="3"/>
  <c r="D42" i="3" s="1"/>
  <c r="H27" i="3"/>
  <c r="I27" i="3"/>
  <c r="K27" i="3"/>
  <c r="L27" i="3"/>
  <c r="M27" i="3"/>
  <c r="N9" i="3"/>
  <c r="N27" i="3" s="1"/>
  <c r="O9" i="3"/>
  <c r="O27" i="3" s="1"/>
  <c r="P9" i="3"/>
  <c r="P27" i="3" s="1"/>
  <c r="Q9" i="3"/>
  <c r="Q27" i="3" s="1"/>
  <c r="R9" i="3"/>
  <c r="R27" i="3" s="1"/>
  <c r="H28" i="3"/>
  <c r="I28" i="3"/>
  <c r="K28" i="3"/>
  <c r="L28" i="3"/>
  <c r="M28" i="3"/>
  <c r="N10" i="3"/>
  <c r="N28" i="3" s="1"/>
  <c r="O10" i="3"/>
  <c r="O28" i="3" s="1"/>
  <c r="P10" i="3"/>
  <c r="P28" i="3" s="1"/>
  <c r="Q10" i="3"/>
  <c r="Q28" i="3" s="1"/>
  <c r="R10" i="3"/>
  <c r="R28" i="3" s="1"/>
  <c r="H29" i="3"/>
  <c r="I29" i="3"/>
  <c r="K29" i="3"/>
  <c r="L29" i="3"/>
  <c r="M29" i="3"/>
  <c r="N11" i="3"/>
  <c r="N29" i="3" s="1"/>
  <c r="O11" i="3"/>
  <c r="O29" i="3" s="1"/>
  <c r="P11" i="3"/>
  <c r="P29" i="3" s="1"/>
  <c r="Q11" i="3"/>
  <c r="Q29" i="3" s="1"/>
  <c r="R11" i="3"/>
  <c r="R29" i="3" s="1"/>
  <c r="H30" i="3"/>
  <c r="I30" i="3"/>
  <c r="J30" i="3"/>
  <c r="K30" i="3"/>
  <c r="L30" i="3"/>
  <c r="M30" i="3"/>
  <c r="N12" i="3"/>
  <c r="N30" i="3" s="1"/>
  <c r="O12" i="3"/>
  <c r="O30" i="3" s="1"/>
  <c r="P12" i="3"/>
  <c r="P30" i="3" s="1"/>
  <c r="Q12" i="3"/>
  <c r="Q30" i="3" s="1"/>
  <c r="R12" i="3"/>
  <c r="R30" i="3" s="1"/>
  <c r="H31" i="3"/>
  <c r="I31" i="3"/>
  <c r="J31" i="3"/>
  <c r="K31" i="3"/>
  <c r="L31" i="3"/>
  <c r="M31" i="3"/>
  <c r="N13" i="3"/>
  <c r="N31" i="3" s="1"/>
  <c r="O13" i="3"/>
  <c r="O31" i="3" s="1"/>
  <c r="P13" i="3"/>
  <c r="P31" i="3" s="1"/>
  <c r="Q13" i="3"/>
  <c r="Q31" i="3" s="1"/>
  <c r="R13" i="3"/>
  <c r="R31" i="3" s="1"/>
  <c r="H32" i="3"/>
  <c r="I32" i="3"/>
  <c r="J32" i="3"/>
  <c r="K32" i="3"/>
  <c r="L32" i="3"/>
  <c r="M32" i="3"/>
  <c r="N14" i="3"/>
  <c r="N32" i="3" s="1"/>
  <c r="O14" i="3"/>
  <c r="O32" i="3" s="1"/>
  <c r="P14" i="3"/>
  <c r="P32" i="3" s="1"/>
  <c r="Q14" i="3"/>
  <c r="Q32" i="3" s="1"/>
  <c r="R14" i="3"/>
  <c r="R32" i="3" s="1"/>
  <c r="H33" i="3"/>
  <c r="I33" i="3"/>
  <c r="J33" i="3"/>
  <c r="K33" i="3"/>
  <c r="L33" i="3"/>
  <c r="M33" i="3"/>
  <c r="N15" i="3"/>
  <c r="N33" i="3" s="1"/>
  <c r="O15" i="3"/>
  <c r="O33" i="3" s="1"/>
  <c r="P15" i="3"/>
  <c r="P33" i="3" s="1"/>
  <c r="Q15" i="3"/>
  <c r="Q33" i="3" s="1"/>
  <c r="R15" i="3"/>
  <c r="R33" i="3" s="1"/>
  <c r="H34" i="3"/>
  <c r="I34" i="3"/>
  <c r="J34" i="3"/>
  <c r="K34" i="3"/>
  <c r="L34" i="3"/>
  <c r="M34" i="3"/>
  <c r="N16" i="3"/>
  <c r="N34" i="3" s="1"/>
  <c r="O16" i="3"/>
  <c r="O34" i="3" s="1"/>
  <c r="P16" i="3"/>
  <c r="P34" i="3" s="1"/>
  <c r="Q16" i="3"/>
  <c r="Q34" i="3" s="1"/>
  <c r="R16" i="3"/>
  <c r="R34" i="3" s="1"/>
  <c r="H35" i="3"/>
  <c r="I35" i="3"/>
  <c r="J35" i="3"/>
  <c r="K35" i="3"/>
  <c r="L35" i="3"/>
  <c r="M35" i="3"/>
  <c r="N17" i="3"/>
  <c r="N35" i="3" s="1"/>
  <c r="O17" i="3"/>
  <c r="O35" i="3" s="1"/>
  <c r="P17" i="3"/>
  <c r="P35" i="3" s="1"/>
  <c r="Q17" i="3"/>
  <c r="Q35" i="3" s="1"/>
  <c r="R17" i="3"/>
  <c r="R35" i="3" s="1"/>
  <c r="H36" i="3"/>
  <c r="I36" i="3"/>
  <c r="J36" i="3"/>
  <c r="K36" i="3"/>
  <c r="L36" i="3"/>
  <c r="M36" i="3"/>
  <c r="N18" i="3"/>
  <c r="N36" i="3" s="1"/>
  <c r="O18" i="3"/>
  <c r="O36" i="3" s="1"/>
  <c r="P18" i="3"/>
  <c r="P36" i="3" s="1"/>
  <c r="Q18" i="3"/>
  <c r="Q36" i="3" s="1"/>
  <c r="R18" i="3"/>
  <c r="R36" i="3" s="1"/>
  <c r="H37" i="3"/>
  <c r="I37" i="3"/>
  <c r="J37" i="3"/>
  <c r="K37" i="3"/>
  <c r="L37" i="3"/>
  <c r="M37" i="3"/>
  <c r="N19" i="3"/>
  <c r="N37" i="3" s="1"/>
  <c r="O19" i="3"/>
  <c r="O37" i="3" s="1"/>
  <c r="P19" i="3"/>
  <c r="P37" i="3" s="1"/>
  <c r="Q19" i="3"/>
  <c r="Q37" i="3" s="1"/>
  <c r="R19" i="3"/>
  <c r="R37" i="3" s="1"/>
  <c r="H38" i="3"/>
  <c r="I38" i="3"/>
  <c r="J38" i="3"/>
  <c r="K38" i="3"/>
  <c r="L38" i="3"/>
  <c r="M38" i="3"/>
  <c r="N20" i="3"/>
  <c r="N38" i="3" s="1"/>
  <c r="O20" i="3"/>
  <c r="O38" i="3" s="1"/>
  <c r="P20" i="3"/>
  <c r="P38" i="3" s="1"/>
  <c r="Q20" i="3"/>
  <c r="Q38" i="3" s="1"/>
  <c r="R20" i="3"/>
  <c r="R38" i="3" s="1"/>
  <c r="H39" i="3"/>
  <c r="I39" i="3"/>
  <c r="J39" i="3"/>
  <c r="K39" i="3"/>
  <c r="L39" i="3"/>
  <c r="M39" i="3"/>
  <c r="N21" i="3"/>
  <c r="N39" i="3" s="1"/>
  <c r="O21" i="3"/>
  <c r="O39" i="3" s="1"/>
  <c r="P21" i="3"/>
  <c r="P39" i="3" s="1"/>
  <c r="Q21" i="3"/>
  <c r="Q39" i="3" s="1"/>
  <c r="R21" i="3"/>
  <c r="R39" i="3" s="1"/>
  <c r="H40" i="3"/>
  <c r="I40" i="3"/>
  <c r="J40" i="3"/>
  <c r="K40" i="3"/>
  <c r="L40" i="3"/>
  <c r="M40" i="3"/>
  <c r="N22" i="3"/>
  <c r="N40" i="3" s="1"/>
  <c r="O22" i="3"/>
  <c r="O40" i="3" s="1"/>
  <c r="P22" i="3"/>
  <c r="P40" i="3" s="1"/>
  <c r="Q22" i="3"/>
  <c r="Q40" i="3" s="1"/>
  <c r="R22" i="3"/>
  <c r="R40" i="3" s="1"/>
  <c r="H41" i="3"/>
  <c r="I41" i="3"/>
  <c r="J41" i="3"/>
  <c r="K41" i="3"/>
  <c r="L41" i="3"/>
  <c r="M41" i="3"/>
  <c r="N23" i="3"/>
  <c r="N41" i="3" s="1"/>
  <c r="O23" i="3"/>
  <c r="O41" i="3" s="1"/>
  <c r="P23" i="3"/>
  <c r="P41" i="3" s="1"/>
  <c r="Q23" i="3"/>
  <c r="Q41" i="3" s="1"/>
  <c r="R23" i="3"/>
  <c r="R41" i="3" s="1"/>
  <c r="R8" i="3"/>
  <c r="R26" i="3" s="1"/>
  <c r="Q8" i="3"/>
  <c r="Q26" i="3" s="1"/>
  <c r="Q42" i="3" s="1"/>
  <c r="P8" i="3"/>
  <c r="P26" i="3" s="1"/>
  <c r="P42" i="3" s="1"/>
  <c r="O8" i="3"/>
  <c r="O26" i="3" s="1"/>
  <c r="O42" i="3" s="1"/>
  <c r="N8" i="3"/>
  <c r="N26" i="3" s="1"/>
  <c r="N42" i="3" s="1"/>
  <c r="M8" i="3"/>
  <c r="M26" i="3" s="1"/>
  <c r="M42" i="3" s="1"/>
  <c r="B67" i="1"/>
  <c r="B28" i="1"/>
  <c r="C59" i="1"/>
  <c r="C60" i="1" s="1"/>
  <c r="N9" i="1"/>
  <c r="L4" i="1"/>
  <c r="L5" i="1"/>
  <c r="L6" i="1"/>
  <c r="L7" i="1"/>
  <c r="L8" i="1"/>
  <c r="L9" i="1"/>
  <c r="L10" i="1"/>
  <c r="L3" i="1"/>
  <c r="F4" i="1"/>
  <c r="F14" i="1" s="1"/>
  <c r="G4" i="1"/>
  <c r="G14" i="1" s="1"/>
  <c r="H4" i="1"/>
  <c r="H14" i="1" s="1"/>
  <c r="I4" i="1"/>
  <c r="I14" i="1" s="1"/>
  <c r="F5" i="1"/>
  <c r="F15" i="1" s="1"/>
  <c r="G5" i="1"/>
  <c r="G15" i="1" s="1"/>
  <c r="H5" i="1"/>
  <c r="H15" i="1" s="1"/>
  <c r="I5" i="1"/>
  <c r="I15" i="1" s="1"/>
  <c r="F6" i="1"/>
  <c r="F16" i="1" s="1"/>
  <c r="G6" i="1"/>
  <c r="G16" i="1" s="1"/>
  <c r="H6" i="1"/>
  <c r="H16" i="1" s="1"/>
  <c r="I6" i="1"/>
  <c r="I16" i="1" s="1"/>
  <c r="F7" i="1"/>
  <c r="F17" i="1" s="1"/>
  <c r="G7" i="1"/>
  <c r="G17" i="1" s="1"/>
  <c r="H7" i="1"/>
  <c r="H17" i="1" s="1"/>
  <c r="I7" i="1"/>
  <c r="I17" i="1" s="1"/>
  <c r="F8" i="1"/>
  <c r="F18" i="1" s="1"/>
  <c r="G8" i="1"/>
  <c r="G18" i="1" s="1"/>
  <c r="H8" i="1"/>
  <c r="H18" i="1" s="1"/>
  <c r="I8" i="1"/>
  <c r="I18" i="1" s="1"/>
  <c r="F9" i="1"/>
  <c r="F19" i="1" s="1"/>
  <c r="G9" i="1"/>
  <c r="G19" i="1" s="1"/>
  <c r="H9" i="1"/>
  <c r="H19" i="1" s="1"/>
  <c r="I9" i="1"/>
  <c r="I19" i="1" s="1"/>
  <c r="F10" i="1"/>
  <c r="F20" i="1" s="1"/>
  <c r="G10" i="1"/>
  <c r="G20" i="1" s="1"/>
  <c r="H10" i="1"/>
  <c r="H20" i="1" s="1"/>
  <c r="I10" i="1"/>
  <c r="I20" i="1" s="1"/>
  <c r="I3" i="1"/>
  <c r="I13" i="1" s="1"/>
  <c r="H3" i="1"/>
  <c r="H13" i="1" s="1"/>
  <c r="G3" i="1"/>
  <c r="G13" i="1" s="1"/>
  <c r="F3" i="1"/>
  <c r="F13" i="1" s="1"/>
  <c r="K9" i="2"/>
  <c r="L9" i="2"/>
  <c r="M9" i="2"/>
  <c r="N9" i="2"/>
  <c r="O9" i="2"/>
  <c r="P9" i="2"/>
  <c r="Q9" i="2"/>
  <c r="K10" i="2"/>
  <c r="L10" i="2"/>
  <c r="M10" i="2"/>
  <c r="N10" i="2"/>
  <c r="O10" i="2"/>
  <c r="P10" i="2"/>
  <c r="Q10" i="2"/>
  <c r="K11" i="2"/>
  <c r="L11" i="2"/>
  <c r="M11" i="2"/>
  <c r="N11" i="2"/>
  <c r="O11" i="2"/>
  <c r="P11" i="2"/>
  <c r="Q11" i="2"/>
  <c r="K12" i="2"/>
  <c r="L12" i="2"/>
  <c r="M12" i="2"/>
  <c r="N12" i="2"/>
  <c r="O12" i="2"/>
  <c r="P12" i="2"/>
  <c r="Q12" i="2"/>
  <c r="K13" i="2"/>
  <c r="L13" i="2"/>
  <c r="M13" i="2"/>
  <c r="N13" i="2"/>
  <c r="O13" i="2"/>
  <c r="P13" i="2"/>
  <c r="Q13" i="2"/>
  <c r="K14" i="2"/>
  <c r="L14" i="2"/>
  <c r="M14" i="2"/>
  <c r="N14" i="2"/>
  <c r="O14" i="2"/>
  <c r="P14" i="2"/>
  <c r="Q14" i="2"/>
  <c r="K15" i="2"/>
  <c r="L15" i="2"/>
  <c r="M15" i="2"/>
  <c r="N15" i="2"/>
  <c r="O15" i="2"/>
  <c r="P15" i="2"/>
  <c r="Q15" i="2"/>
  <c r="K16" i="2"/>
  <c r="L16" i="2"/>
  <c r="M16" i="2"/>
  <c r="N16" i="2"/>
  <c r="O16" i="2"/>
  <c r="P16" i="2"/>
  <c r="Q16" i="2"/>
  <c r="K17" i="2"/>
  <c r="L17" i="2"/>
  <c r="M17" i="2"/>
  <c r="N17" i="2"/>
  <c r="O17" i="2"/>
  <c r="P17" i="2"/>
  <c r="Q17" i="2"/>
  <c r="K18" i="2"/>
  <c r="L18" i="2"/>
  <c r="M18" i="2"/>
  <c r="N18" i="2"/>
  <c r="O18" i="2"/>
  <c r="P18" i="2"/>
  <c r="Q18" i="2"/>
  <c r="K19" i="2"/>
  <c r="L19" i="2"/>
  <c r="M19" i="2"/>
  <c r="N19" i="2"/>
  <c r="O19" i="2"/>
  <c r="P19" i="2"/>
  <c r="Q19" i="2"/>
  <c r="K20" i="2"/>
  <c r="L20" i="2"/>
  <c r="M20" i="2"/>
  <c r="N20" i="2"/>
  <c r="O20" i="2"/>
  <c r="P20" i="2"/>
  <c r="Q20" i="2"/>
  <c r="K21" i="2"/>
  <c r="L21" i="2"/>
  <c r="M21" i="2"/>
  <c r="N21" i="2"/>
  <c r="O21" i="2"/>
  <c r="P21" i="2"/>
  <c r="Q21" i="2"/>
  <c r="K22" i="2"/>
  <c r="L22" i="2"/>
  <c r="M22" i="2"/>
  <c r="N22" i="2"/>
  <c r="O22" i="2"/>
  <c r="P22" i="2"/>
  <c r="Q22" i="2"/>
  <c r="K23" i="2"/>
  <c r="L23" i="2"/>
  <c r="M23" i="2"/>
  <c r="N23" i="2"/>
  <c r="O23" i="2"/>
  <c r="P23" i="2"/>
  <c r="Q23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Q8" i="2"/>
  <c r="P8" i="2"/>
  <c r="O8" i="2"/>
  <c r="N8" i="2"/>
  <c r="M8" i="2"/>
  <c r="L8" i="2"/>
  <c r="K8" i="2"/>
  <c r="I8" i="2"/>
  <c r="J23" i="2"/>
  <c r="H23" i="2"/>
  <c r="G23" i="2"/>
  <c r="J22" i="2"/>
  <c r="H22" i="2"/>
  <c r="G22" i="2"/>
  <c r="J21" i="2"/>
  <c r="H21" i="2"/>
  <c r="G21" i="2"/>
  <c r="J20" i="2"/>
  <c r="H20" i="2"/>
  <c r="G20" i="2"/>
  <c r="J19" i="2"/>
  <c r="H19" i="2"/>
  <c r="G19" i="2"/>
  <c r="J18" i="2"/>
  <c r="H18" i="2"/>
  <c r="G18" i="2"/>
  <c r="J17" i="2"/>
  <c r="H17" i="2"/>
  <c r="G17" i="2"/>
  <c r="J16" i="2"/>
  <c r="H16" i="2"/>
  <c r="G16" i="2"/>
  <c r="J15" i="2"/>
  <c r="H15" i="2"/>
  <c r="G15" i="2"/>
  <c r="J14" i="2"/>
  <c r="H14" i="2"/>
  <c r="G14" i="2"/>
  <c r="J13" i="2"/>
  <c r="H13" i="2"/>
  <c r="G13" i="2"/>
  <c r="J12" i="2"/>
  <c r="H12" i="2"/>
  <c r="G12" i="2"/>
  <c r="J11" i="2"/>
  <c r="H11" i="2"/>
  <c r="G11" i="2"/>
  <c r="J10" i="2"/>
  <c r="H10" i="2"/>
  <c r="G10" i="2"/>
  <c r="J9" i="2"/>
  <c r="H9" i="2"/>
  <c r="G9" i="2"/>
  <c r="J8" i="2"/>
  <c r="H8" i="2"/>
  <c r="G8" i="2"/>
  <c r="I38" i="1"/>
  <c r="H38" i="1"/>
  <c r="G38" i="1"/>
  <c r="F38" i="1"/>
  <c r="I37" i="1"/>
  <c r="H37" i="1"/>
  <c r="G37" i="1"/>
  <c r="F37" i="1"/>
  <c r="I36" i="1"/>
  <c r="H36" i="1"/>
  <c r="G36" i="1"/>
  <c r="F36" i="1"/>
  <c r="I35" i="1"/>
  <c r="H35" i="1"/>
  <c r="G35" i="1"/>
  <c r="F35" i="1"/>
  <c r="I34" i="1"/>
  <c r="H34" i="1"/>
  <c r="G34" i="1"/>
  <c r="F34" i="1"/>
  <c r="I33" i="1"/>
  <c r="H33" i="1"/>
  <c r="G33" i="1"/>
  <c r="F33" i="1"/>
  <c r="I32" i="1"/>
  <c r="H32" i="1"/>
  <c r="G32" i="1"/>
  <c r="F32" i="1"/>
  <c r="I31" i="1"/>
  <c r="H31" i="1"/>
  <c r="G31" i="1"/>
  <c r="F31" i="1"/>
  <c r="C14" i="1" l="1"/>
  <c r="D14" i="1"/>
  <c r="E14" i="1"/>
  <c r="C15" i="1"/>
  <c r="D15" i="1"/>
  <c r="E15" i="1"/>
  <c r="C16" i="1"/>
  <c r="D16" i="1"/>
  <c r="E16" i="1"/>
  <c r="I21" i="1"/>
  <c r="I23" i="1" s="1"/>
  <c r="H21" i="1"/>
  <c r="G21" i="1"/>
  <c r="F21" i="1"/>
  <c r="C17" i="1"/>
  <c r="D17" i="1"/>
  <c r="E17" i="1"/>
  <c r="C18" i="1"/>
  <c r="D18" i="1"/>
  <c r="E18" i="1"/>
  <c r="C19" i="1"/>
  <c r="E19" i="1"/>
  <c r="D19" i="1"/>
  <c r="E20" i="1"/>
  <c r="D20" i="1"/>
  <c r="C20" i="1"/>
  <c r="C13" i="1"/>
  <c r="C21" i="1" s="1"/>
  <c r="D13" i="1"/>
  <c r="D21" i="1" s="1"/>
  <c r="E13" i="1"/>
  <c r="I22" i="1"/>
  <c r="M44" i="3"/>
  <c r="M43" i="3"/>
  <c r="K42" i="3"/>
  <c r="J42" i="3"/>
  <c r="L43" i="3"/>
  <c r="L44" i="3"/>
  <c r="I43" i="3"/>
  <c r="I44" i="3"/>
  <c r="H43" i="3"/>
  <c r="H44" i="3"/>
  <c r="D44" i="3"/>
  <c r="D43" i="3"/>
  <c r="R42" i="3"/>
  <c r="H22" i="1" l="1"/>
  <c r="H23" i="1"/>
  <c r="B57" i="1" s="1"/>
  <c r="D57" i="1" s="1"/>
  <c r="G22" i="1"/>
  <c r="G23" i="1"/>
  <c r="B56" i="1" s="1"/>
  <c r="D56" i="1" s="1"/>
  <c r="F22" i="1"/>
  <c r="F23" i="1"/>
  <c r="B55" i="1" s="1"/>
  <c r="D55" i="1" s="1"/>
  <c r="C22" i="1"/>
  <c r="C23" i="1"/>
  <c r="B52" i="1" s="1"/>
  <c r="D52" i="1" s="1"/>
  <c r="D22" i="1"/>
  <c r="D23" i="1"/>
  <c r="B53" i="1" s="1"/>
  <c r="D53" i="1" s="1"/>
  <c r="E21" i="1"/>
  <c r="K44" i="3"/>
  <c r="K43" i="3"/>
  <c r="J44" i="3"/>
  <c r="J43" i="3"/>
  <c r="B58" i="1"/>
  <c r="D58" i="1" s="1"/>
  <c r="B26" i="1" l="1"/>
  <c r="B65" i="1"/>
  <c r="E23" i="1"/>
  <c r="B54" i="1" s="1"/>
  <c r="D54" i="1" s="1"/>
  <c r="E22" i="1"/>
  <c r="J38" i="1" l="1"/>
  <c r="J37" i="1"/>
  <c r="J36" i="1"/>
  <c r="J35" i="1"/>
  <c r="J34" i="1"/>
  <c r="J48" i="1"/>
  <c r="K48" i="1"/>
  <c r="J47" i="1"/>
  <c r="K47" i="1"/>
  <c r="J46" i="1"/>
  <c r="K46" i="1"/>
  <c r="J45" i="1"/>
  <c r="K45" i="1"/>
  <c r="J44" i="1"/>
  <c r="K44" i="1"/>
  <c r="J33" i="1"/>
  <c r="J32" i="1"/>
  <c r="J31" i="1"/>
  <c r="J43" i="1" l="1"/>
  <c r="K43" i="1"/>
  <c r="K42" i="1"/>
  <c r="J42" i="1"/>
  <c r="K41" i="1"/>
  <c r="J41" i="1"/>
  <c r="L48" i="1" l="1"/>
  <c r="B59" i="1" s="1"/>
  <c r="D59" i="1" s="1"/>
  <c r="E58" i="1" l="1"/>
  <c r="F58" i="1" s="1"/>
  <c r="F52" i="1"/>
  <c r="E57" i="1"/>
  <c r="F57" i="1" s="1"/>
  <c r="E54" i="1"/>
  <c r="F54" i="1" s="1"/>
  <c r="E55" i="1"/>
  <c r="F55" i="1" s="1"/>
  <c r="E53" i="1"/>
  <c r="F53" i="1" s="1"/>
  <c r="E56" i="1"/>
  <c r="F56" i="1" s="1"/>
</calcChain>
</file>

<file path=xl/sharedStrings.xml><?xml version="1.0" encoding="utf-8"?>
<sst xmlns="http://schemas.openxmlformats.org/spreadsheetml/2006/main" count="231" uniqueCount="96">
  <si>
    <t>Treatment Combination</t>
  </si>
  <si>
    <t>Factorial Effect</t>
  </si>
  <si>
    <t>I</t>
  </si>
  <si>
    <t>A</t>
  </si>
  <si>
    <t>B</t>
  </si>
  <si>
    <t>C</t>
  </si>
  <si>
    <t>AB</t>
  </si>
  <si>
    <t>AC</t>
  </si>
  <si>
    <t>BC</t>
  </si>
  <si>
    <t>ABC</t>
  </si>
  <si>
    <t>(1)</t>
  </si>
  <si>
    <t>a</t>
  </si>
  <si>
    <t>b</t>
  </si>
  <si>
    <t>c</t>
  </si>
  <si>
    <t>ab</t>
  </si>
  <si>
    <t>ac</t>
  </si>
  <si>
    <t>bc</t>
  </si>
  <si>
    <t>abc</t>
  </si>
  <si>
    <t>Surface Roughness</t>
  </si>
  <si>
    <t>Totals</t>
  </si>
  <si>
    <t>#1</t>
  </si>
  <si>
    <t>#2</t>
  </si>
  <si>
    <t>Contrast</t>
  </si>
  <si>
    <t>Effect</t>
  </si>
  <si>
    <t>Sum Square</t>
  </si>
  <si>
    <t>k =</t>
  </si>
  <si>
    <t>n =</t>
  </si>
  <si>
    <t>Average =</t>
  </si>
  <si>
    <t>(x1, x2, x3) = (-1, -1, -1)</t>
  </si>
  <si>
    <t xml:space="preserve">y_predict = </t>
  </si>
  <si>
    <t>y_predict</t>
  </si>
  <si>
    <r>
      <rPr>
        <b/>
        <sz val="11"/>
        <color theme="1"/>
        <rFont val="Calibri"/>
        <family val="2"/>
        <scheme val="minor"/>
      </rPr>
      <t>Regression Model:</t>
    </r>
    <r>
      <rPr>
        <sz val="11"/>
        <color theme="1"/>
        <rFont val="Calibri"/>
        <family val="2"/>
        <scheme val="minor"/>
      </rPr>
      <t xml:space="preserve"> y_predict = ß0 + ß1 x1 + ß2 x2 + ß12 x1 x2</t>
    </r>
  </si>
  <si>
    <t>Error</t>
  </si>
  <si>
    <t>SSE</t>
  </si>
  <si>
    <t>Analysis of Variance</t>
  </si>
  <si>
    <t>Source of Variation</t>
  </si>
  <si>
    <t>d.f.</t>
  </si>
  <si>
    <t>Mean Square</t>
  </si>
  <si>
    <t>f0</t>
  </si>
  <si>
    <t>P-Value</t>
  </si>
  <si>
    <t>Total</t>
  </si>
  <si>
    <t>α=0.1</t>
  </si>
  <si>
    <t>A = gap</t>
  </si>
  <si>
    <t>B = pressure</t>
  </si>
  <si>
    <t>C = C2F6 flow rate</t>
  </si>
  <si>
    <t>D = power setting</t>
  </si>
  <si>
    <t>D</t>
  </si>
  <si>
    <t>d</t>
  </si>
  <si>
    <t>ad</t>
  </si>
  <si>
    <t>bd</t>
  </si>
  <si>
    <t>abd</t>
  </si>
  <si>
    <t>cd</t>
  </si>
  <si>
    <t>acd</t>
  </si>
  <si>
    <t>bcd</t>
  </si>
  <si>
    <t>abcd</t>
  </si>
  <si>
    <t>AD</t>
  </si>
  <si>
    <t>BD</t>
  </si>
  <si>
    <t>CD</t>
  </si>
  <si>
    <t>ABD</t>
  </si>
  <si>
    <t>ACD</t>
  </si>
  <si>
    <t>BCD</t>
  </si>
  <si>
    <t>ABCD</t>
  </si>
  <si>
    <t>I = ABCD</t>
  </si>
  <si>
    <t>D=ABC</t>
  </si>
  <si>
    <t>Etch Rate</t>
  </si>
  <si>
    <t>Effect of ABD =</t>
  </si>
  <si>
    <t>Effect of AD =</t>
  </si>
  <si>
    <r>
      <rPr>
        <b/>
        <sz val="11"/>
        <color theme="1"/>
        <rFont val="Calibri"/>
        <family val="2"/>
        <scheme val="minor"/>
      </rPr>
      <t>Regression Model:</t>
    </r>
    <r>
      <rPr>
        <sz val="11"/>
        <color theme="1"/>
        <rFont val="Calibri"/>
        <family val="2"/>
        <scheme val="minor"/>
      </rPr>
      <t xml:space="preserve"> y_predict = </t>
    </r>
  </si>
  <si>
    <t>(x1, x2, x3, x4) = (-1, -1, -1, -1)</t>
  </si>
  <si>
    <t>Effect of AB =</t>
  </si>
  <si>
    <t>Effect of CD =</t>
  </si>
  <si>
    <t>Effect of AC =</t>
  </si>
  <si>
    <t>no. of test</t>
  </si>
  <si>
    <t>no. of variables</t>
  </si>
  <si>
    <t>=SUM(C13:C20)</t>
  </si>
  <si>
    <t>=C21/($N7*2^($N8-1))</t>
  </si>
  <si>
    <t>=C21^2/($N7*2^$N8)</t>
  </si>
  <si>
    <t>=SUMSQ(J41:K48)</t>
  </si>
  <si>
    <t>no. of level - 1</t>
  </si>
  <si>
    <t>=2*2*2*2-1</t>
  </si>
  <si>
    <t>*</t>
  </si>
  <si>
    <t>=F.DIST.RT(E52, C52, $C$59)</t>
  </si>
  <si>
    <t>Because A and B are signigicant, the rest is not, only variable we have to take into account of the regressioin model calculation limits to A and B</t>
  </si>
  <si>
    <t>= (D43/2 * X1) + (G43/2 * X2) + (J43/2 * X1 * X2) + average(B8:B23)</t>
  </si>
  <si>
    <t>sum of row above</t>
  </si>
  <si>
    <t>follow formula</t>
  </si>
  <si>
    <t>The test value * high/low state</t>
  </si>
  <si>
    <t>Choose 3 variables because</t>
  </si>
  <si>
    <t>Finding effect, combining sign highlow with test value</t>
  </si>
  <si>
    <t>2^(k-1-1)</t>
  </si>
  <si>
    <t>Minus one because we use 1/2 formula, reduced no. of variables</t>
  </si>
  <si>
    <t>2^(4-1-1)</t>
  </si>
  <si>
    <t>Ab</t>
  </si>
  <si>
    <t>contrast</t>
  </si>
  <si>
    <t>effect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</si>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</sst>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</fills>
  <borders count="12">
    <border>
      <left/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horizontal="right" wrapText="1"/>
    </xf>
    <xf numFmtId="0" fontId="2" fillId="0" borderId="0" xfId="0" applyFont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quotePrefix="1"/>
    <xf numFmtId="0" fontId="0" fillId="3" borderId="1" xfId="0" applyFill="1" applyBorder="1"/>
    <xf numFmtId="0" fontId="2" fillId="5" borderId="3" xfId="0" applyFont="1" applyFill="1" applyBorder="1" applyAlignment="1">
      <alignment horizontal="center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2" borderId="5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5" borderId="7" xfId="0" applyFont="1" applyFill="1" applyBorder="1"/>
    <xf numFmtId="0" fontId="1" fillId="4" borderId="7" xfId="0" applyFont="1" applyFill="1" applyBorder="1" applyAlignment="1">
      <alignment horizontal="right"/>
    </xf>
    <xf numFmtId="0" fontId="0" fillId="0" borderId="0" xfId="0" applyAlignment="1">
      <alignment horizontal="center" wrapText="1"/>
    </xf>
    <xf numFmtId="0" fontId="0" fillId="5" borderId="7" xfId="0" applyFill="1" applyBorder="1" applyAlignment="1">
      <alignment horizontal="center"/>
    </xf>
    <xf numFmtId="0" fontId="0" fillId="3" borderId="0" xfId="0" quotePrefix="1" applyFill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0" fillId="0" borderId="0" xfId="0" quotePrefix="1" applyAlignment="1">
      <alignment wrapText="1"/>
    </xf>
    <xf numFmtId="0" fontId="8" fillId="6" borderId="10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1" xfId="0" applyFont="1" applyBorder="1" applyAlignment="1">
      <alignment horizontal="right"/>
    </xf>
    <xf numFmtId="0" fontId="0" fillId="0" borderId="1" xfId="0" applyBorder="1"/>
    <xf numFmtId="0" fontId="0" fillId="3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3" borderId="4" xfId="0" quotePrefix="1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2" fillId="0" borderId="0" xfId="0" applyFont="1" applyAlignment="1">
      <alignment wrapText="1"/>
    </xf>
    <xf numFmtId="0" fontId="0" fillId="3" borderId="0" xfId="0" applyFill="1" applyAlignment="1">
      <alignment horizontal="left" wrapText="1"/>
    </xf>
    <xf numFmtId="0" fontId="1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2" borderId="4" xfId="0" applyFont="1" applyFill="1" applyBorder="1" applyAlignment="1">
      <alignment horizont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3" borderId="0" xfId="0" quotePrefix="1" applyFill="1" applyAlignment="1">
      <alignment wrapText="1"/>
    </xf>
    <xf numFmtId="0" fontId="0" fillId="3" borderId="0" xfId="0" quotePrefix="1" applyFill="1" applyAlignment="1">
      <alignment horizontal="left" wrapText="1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161926</xdr:colOff>
      <xdr:row>0</xdr:row>
      <xdr:rowOff>114300</xdr:rowOff>
    </xdr:from>
    <xdr:to>
      <xdr:col>13</xdr:col>
      <xdr:colOff>932376</xdr:colOff>
      <xdr:row>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E0DCC1-8BC2-42D2-8EF2-DDDF0C23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6971" y="114300"/>
          <a:ext cx="1960360" cy="1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238125</xdr:colOff>
      <xdr:row>38</xdr:row>
      <xdr:rowOff>64994</xdr:rowOff>
    </xdr:from>
    <xdr:to>
      <xdr:col>8</xdr:col>
      <xdr:colOff>417246</xdr:colOff>
      <xdr:row>47</xdr:row>
      <xdr:rowOff>211520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C30450-B2AC-40AA-B9B3-93E98EA2BFE5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9475694"/>
          <a:ext cx="2750871" cy="23753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7</xdr:col>
      <xdr:colOff>227771</xdr:colOff>
      <xdr:row>58</xdr:row>
      <xdr:rowOff>231774</xdr:rowOff>
    </xdr:from>
    <xdr:to>
      <xdr:col>12</xdr:col>
      <xdr:colOff>847465</xdr:colOff>
      <xdr:row>62</xdr:row>
      <xdr:rowOff>53812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CB44C3-AD5C-477E-AAD4-BA7522E2E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551" y="15461011"/>
          <a:ext cx="4235965" cy="855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338413</xdr:colOff>
      <xdr:row>49</xdr:row>
      <xdr:rowOff>132882</xdr:rowOff>
    </xdr:from>
    <xdr:to>
      <xdr:col>10</xdr:col>
      <xdr:colOff>580302</xdr:colOff>
      <xdr:row>57</xdr:row>
      <xdr:rowOff>37746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761F0A-641C-422B-B6FD-F4D077465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379" y="12789831"/>
          <a:ext cx="1641042" cy="2218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37</xdr:row>
      <xdr:rowOff>0</xdr:rowOff>
    </xdr:from>
    <xdr:to>
      <xdr:col>21</xdr:col>
      <xdr:colOff>325418</xdr:colOff>
      <xdr:row>42</xdr:row>
      <xdr:rowOff>65379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2CC795-63B2-3A43-9696-F535A42A3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42299" y="9123563"/>
          <a:ext cx="1960360" cy="1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254000</xdr:colOff>
      <xdr:row>34</xdr:row>
      <xdr:rowOff>239839</xdr:rowOff>
    </xdr:from>
    <xdr:to>
      <xdr:col>9</xdr:col>
      <xdr:colOff>223818</xdr:colOff>
      <xdr:row>40</xdr:row>
      <xdr:rowOff>51218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9FF3F-B535-964A-83B9-3B4664119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0814" y="9275945"/>
          <a:ext cx="1959110" cy="136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9128-1251-4C8B-9A0B-921E7619D709}">
  <dimension ref="A1:O67"/>
  <sheetViews>
    <sheetView topLeftCell="A15" zoomScaleNormal="200" workbookViewId="0">
      <selection activeCell="E52" sqref="E52"/>
    </sheetView>
  </sheetViews>
  <sheetFormatPr baseColWidth="10" defaultColWidth="15.6640625" defaultRowHeight="20.25" customHeight="1" x14ac:dyDescent="0.2"/>
  <cols>
    <col min="1" max="1" width="15.6640625" style="1"/>
    <col min="2" max="9" width="7.6640625" style="1" customWidth="1"/>
    <col min="10" max="12" width="10.6640625" customWidth="1"/>
    <col min="15" max="16384" width="15.6640625" style="1"/>
  </cols>
  <sheetData>
    <row r="1" spans="1:15" s="2" customFormat="1" ht="20.25" customHeight="1" x14ac:dyDescent="0.2">
      <c r="A1" s="46" t="s">
        <v>0</v>
      </c>
      <c r="B1" s="46" t="s">
        <v>1</v>
      </c>
      <c r="C1" s="46"/>
      <c r="D1" s="46"/>
      <c r="E1" s="46"/>
      <c r="F1" s="46"/>
      <c r="G1" s="46"/>
      <c r="H1" s="46"/>
      <c r="I1" s="58"/>
      <c r="J1" s="54" t="s">
        <v>18</v>
      </c>
      <c r="K1" s="55"/>
      <c r="L1" s="54" t="s">
        <v>19</v>
      </c>
      <c r="M1" s="15"/>
      <c r="N1" s="15"/>
    </row>
    <row r="2" spans="1:15" s="2" customFormat="1" ht="20.25" customHeight="1" x14ac:dyDescent="0.2">
      <c r="A2" s="46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8" t="s">
        <v>9</v>
      </c>
      <c r="J2" s="16" t="s">
        <v>20</v>
      </c>
      <c r="K2" s="16" t="s">
        <v>21</v>
      </c>
      <c r="L2" s="55"/>
      <c r="M2" s="15"/>
      <c r="N2" s="15"/>
    </row>
    <row r="3" spans="1:15" ht="20.25" customHeight="1" x14ac:dyDescent="0.2">
      <c r="A3" s="4" t="s">
        <v>10</v>
      </c>
      <c r="B3" s="5">
        <v>1</v>
      </c>
      <c r="C3" s="5">
        <v>-1</v>
      </c>
      <c r="D3" s="5">
        <v>-1</v>
      </c>
      <c r="E3" s="5">
        <v>-1</v>
      </c>
      <c r="F3" s="6">
        <f>C3*D3</f>
        <v>1</v>
      </c>
      <c r="G3" s="6">
        <f>C3*E3</f>
        <v>1</v>
      </c>
      <c r="H3" s="6">
        <f>D3*E3</f>
        <v>1</v>
      </c>
      <c r="I3" s="9">
        <f>C3*D3*E3</f>
        <v>-1</v>
      </c>
      <c r="J3" s="17">
        <v>9</v>
      </c>
      <c r="K3" s="17">
        <v>7</v>
      </c>
      <c r="L3" s="18">
        <f>J3+K3</f>
        <v>16</v>
      </c>
    </row>
    <row r="4" spans="1:15" ht="20.25" customHeight="1" x14ac:dyDescent="0.2">
      <c r="A4" s="5" t="s">
        <v>11</v>
      </c>
      <c r="B4" s="5">
        <v>1</v>
      </c>
      <c r="C4" s="5">
        <v>1</v>
      </c>
      <c r="D4" s="5">
        <v>-1</v>
      </c>
      <c r="E4" s="5">
        <v>-1</v>
      </c>
      <c r="F4" s="6">
        <f t="shared" ref="F4:F10" si="0">C4*D4</f>
        <v>-1</v>
      </c>
      <c r="G4" s="6">
        <f t="shared" ref="G4:G10" si="1">C4*E4</f>
        <v>-1</v>
      </c>
      <c r="H4" s="6">
        <f t="shared" ref="H4:H10" si="2">D4*E4</f>
        <v>1</v>
      </c>
      <c r="I4" s="9">
        <f t="shared" ref="I4:I10" si="3">C4*D4*E4</f>
        <v>1</v>
      </c>
      <c r="J4" s="17">
        <v>10</v>
      </c>
      <c r="K4" s="17">
        <v>12</v>
      </c>
      <c r="L4" s="18">
        <f t="shared" ref="L4:L10" si="4">J4+K4</f>
        <v>22</v>
      </c>
    </row>
    <row r="5" spans="1:15" ht="20.25" customHeight="1" x14ac:dyDescent="0.2">
      <c r="A5" s="5" t="s">
        <v>12</v>
      </c>
      <c r="B5" s="5">
        <v>1</v>
      </c>
      <c r="C5" s="5">
        <v>-1</v>
      </c>
      <c r="D5" s="5">
        <v>1</v>
      </c>
      <c r="E5" s="5">
        <v>-1</v>
      </c>
      <c r="F5" s="6">
        <f t="shared" si="0"/>
        <v>-1</v>
      </c>
      <c r="G5" s="6">
        <f t="shared" si="1"/>
        <v>1</v>
      </c>
      <c r="H5" s="6">
        <f t="shared" si="2"/>
        <v>-1</v>
      </c>
      <c r="I5" s="9">
        <f t="shared" si="3"/>
        <v>1</v>
      </c>
      <c r="J5" s="17">
        <v>9</v>
      </c>
      <c r="K5" s="17">
        <v>11</v>
      </c>
      <c r="L5" s="18">
        <f t="shared" si="4"/>
        <v>20</v>
      </c>
    </row>
    <row r="6" spans="1:15" ht="20.25" customHeight="1" x14ac:dyDescent="0.2">
      <c r="A6" s="5" t="s">
        <v>14</v>
      </c>
      <c r="B6" s="5">
        <v>1</v>
      </c>
      <c r="C6" s="5">
        <v>1</v>
      </c>
      <c r="D6" s="5">
        <v>1</v>
      </c>
      <c r="E6" s="5">
        <v>-1</v>
      </c>
      <c r="F6" s="6">
        <f t="shared" si="0"/>
        <v>1</v>
      </c>
      <c r="G6" s="6">
        <f t="shared" si="1"/>
        <v>-1</v>
      </c>
      <c r="H6" s="6">
        <f t="shared" si="2"/>
        <v>-1</v>
      </c>
      <c r="I6" s="9">
        <f t="shared" si="3"/>
        <v>-1</v>
      </c>
      <c r="J6" s="17">
        <v>12</v>
      </c>
      <c r="K6" s="17">
        <v>15</v>
      </c>
      <c r="L6" s="18">
        <f t="shared" si="4"/>
        <v>27</v>
      </c>
    </row>
    <row r="7" spans="1:15" ht="20.25" customHeight="1" x14ac:dyDescent="0.2">
      <c r="A7" s="5" t="s">
        <v>13</v>
      </c>
      <c r="B7" s="5">
        <v>1</v>
      </c>
      <c r="C7" s="5">
        <v>-1</v>
      </c>
      <c r="D7" s="5">
        <v>-1</v>
      </c>
      <c r="E7" s="5">
        <v>1</v>
      </c>
      <c r="F7" s="6">
        <f t="shared" si="0"/>
        <v>1</v>
      </c>
      <c r="G7" s="6">
        <f t="shared" si="1"/>
        <v>-1</v>
      </c>
      <c r="H7" s="6">
        <f t="shared" si="2"/>
        <v>-1</v>
      </c>
      <c r="I7" s="9">
        <f t="shared" si="3"/>
        <v>1</v>
      </c>
      <c r="J7" s="17">
        <v>11</v>
      </c>
      <c r="K7" s="17">
        <v>10</v>
      </c>
      <c r="L7" s="18">
        <f t="shared" si="4"/>
        <v>21</v>
      </c>
      <c r="M7" s="19" t="s">
        <v>26</v>
      </c>
      <c r="N7" s="20">
        <v>2</v>
      </c>
      <c r="O7" s="1" t="s">
        <v>72</v>
      </c>
    </row>
    <row r="8" spans="1:15" ht="20.25" customHeight="1" x14ac:dyDescent="0.2">
      <c r="A8" s="5" t="s">
        <v>15</v>
      </c>
      <c r="B8" s="5">
        <v>1</v>
      </c>
      <c r="C8" s="5">
        <v>1</v>
      </c>
      <c r="D8" s="5">
        <v>-1</v>
      </c>
      <c r="E8" s="5">
        <v>1</v>
      </c>
      <c r="F8" s="6">
        <f t="shared" si="0"/>
        <v>-1</v>
      </c>
      <c r="G8" s="6">
        <f t="shared" si="1"/>
        <v>1</v>
      </c>
      <c r="H8" s="6">
        <f t="shared" si="2"/>
        <v>-1</v>
      </c>
      <c r="I8" s="9">
        <f t="shared" si="3"/>
        <v>-1</v>
      </c>
      <c r="J8" s="17">
        <v>10</v>
      </c>
      <c r="K8" s="17">
        <v>13</v>
      </c>
      <c r="L8" s="18">
        <f t="shared" si="4"/>
        <v>23</v>
      </c>
      <c r="M8" s="19" t="s">
        <v>25</v>
      </c>
      <c r="N8" s="20">
        <v>3</v>
      </c>
      <c r="O8" s="1" t="s">
        <v>73</v>
      </c>
    </row>
    <row r="9" spans="1:15" ht="20.25" customHeight="1" x14ac:dyDescent="0.2">
      <c r="A9" s="5" t="s">
        <v>16</v>
      </c>
      <c r="B9" s="5">
        <v>1</v>
      </c>
      <c r="C9" s="5">
        <v>-1</v>
      </c>
      <c r="D9" s="5">
        <v>1</v>
      </c>
      <c r="E9" s="5">
        <v>1</v>
      </c>
      <c r="F9" s="6">
        <f t="shared" si="0"/>
        <v>-1</v>
      </c>
      <c r="G9" s="6">
        <f t="shared" si="1"/>
        <v>-1</v>
      </c>
      <c r="H9" s="6">
        <f t="shared" si="2"/>
        <v>1</v>
      </c>
      <c r="I9" s="9">
        <f t="shared" si="3"/>
        <v>-1</v>
      </c>
      <c r="J9" s="17">
        <v>10</v>
      </c>
      <c r="K9" s="17">
        <v>8</v>
      </c>
      <c r="L9" s="18">
        <f t="shared" si="4"/>
        <v>18</v>
      </c>
      <c r="M9" s="19" t="s">
        <v>27</v>
      </c>
      <c r="N9" s="20">
        <f>AVERAGE(J3:K10)</f>
        <v>11.0625</v>
      </c>
    </row>
    <row r="10" spans="1:15" ht="20.25" customHeight="1" x14ac:dyDescent="0.2">
      <c r="A10" s="5" t="s">
        <v>17</v>
      </c>
      <c r="B10" s="5">
        <v>1</v>
      </c>
      <c r="C10" s="5">
        <v>1</v>
      </c>
      <c r="D10" s="5">
        <v>1</v>
      </c>
      <c r="E10" s="5">
        <v>1</v>
      </c>
      <c r="F10" s="6">
        <f t="shared" si="0"/>
        <v>1</v>
      </c>
      <c r="G10" s="6">
        <f t="shared" si="1"/>
        <v>1</v>
      </c>
      <c r="H10" s="6">
        <f t="shared" si="2"/>
        <v>1</v>
      </c>
      <c r="I10" s="9">
        <f t="shared" si="3"/>
        <v>1</v>
      </c>
      <c r="J10" s="17">
        <v>16</v>
      </c>
      <c r="K10" s="17">
        <v>14</v>
      </c>
      <c r="L10" s="18">
        <f t="shared" si="4"/>
        <v>30</v>
      </c>
      <c r="M10" s="19" t="s">
        <v>95</v>
      </c>
      <c r="N10">
        <f>2^N8*(N7-1)</f>
        <v>8</v>
      </c>
    </row>
    <row r="12" spans="1:15" ht="20.25" customHeight="1" x14ac:dyDescent="0.2">
      <c r="A12" s="57" t="s">
        <v>22</v>
      </c>
      <c r="B12" s="57"/>
      <c r="C12" s="10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</row>
    <row r="13" spans="1:15" ht="20.25" customHeight="1" x14ac:dyDescent="0.2">
      <c r="A13" s="59"/>
      <c r="B13" s="59"/>
      <c r="C13" s="11">
        <f>C3*$L3</f>
        <v>-16</v>
      </c>
      <c r="D13" s="5">
        <f>D3*$L3</f>
        <v>-16</v>
      </c>
      <c r="E13" s="11">
        <f t="shared" ref="E13:I13" si="5">E3*$L3</f>
        <v>-16</v>
      </c>
      <c r="F13" s="5">
        <f t="shared" si="5"/>
        <v>16</v>
      </c>
      <c r="G13" s="11">
        <f t="shared" si="5"/>
        <v>16</v>
      </c>
      <c r="H13" s="5">
        <f t="shared" si="5"/>
        <v>16</v>
      </c>
      <c r="I13" s="11">
        <f t="shared" si="5"/>
        <v>-16</v>
      </c>
    </row>
    <row r="14" spans="1:15" ht="20.25" customHeight="1" x14ac:dyDescent="0.2">
      <c r="A14" s="59"/>
      <c r="B14" s="59"/>
      <c r="C14" s="11">
        <f t="shared" ref="C14:I14" si="6">C4*$L4</f>
        <v>22</v>
      </c>
      <c r="D14" s="5">
        <f t="shared" si="6"/>
        <v>-22</v>
      </c>
      <c r="E14" s="11">
        <f t="shared" si="6"/>
        <v>-22</v>
      </c>
      <c r="F14" s="5">
        <f t="shared" si="6"/>
        <v>-22</v>
      </c>
      <c r="G14" s="11">
        <f t="shared" si="6"/>
        <v>-22</v>
      </c>
      <c r="H14" s="5">
        <f t="shared" si="6"/>
        <v>22</v>
      </c>
      <c r="I14" s="11">
        <f t="shared" si="6"/>
        <v>22</v>
      </c>
    </row>
    <row r="15" spans="1:15" ht="20.25" customHeight="1" x14ac:dyDescent="0.2">
      <c r="A15" s="59"/>
      <c r="B15" s="59"/>
      <c r="C15" s="11">
        <f t="shared" ref="C15:I15" si="7">C5*$L5</f>
        <v>-20</v>
      </c>
      <c r="D15" s="5">
        <f t="shared" si="7"/>
        <v>20</v>
      </c>
      <c r="E15" s="11">
        <f t="shared" si="7"/>
        <v>-20</v>
      </c>
      <c r="F15" s="5">
        <f t="shared" si="7"/>
        <v>-20</v>
      </c>
      <c r="G15" s="11">
        <f t="shared" si="7"/>
        <v>20</v>
      </c>
      <c r="H15" s="5">
        <f t="shared" si="7"/>
        <v>-20</v>
      </c>
      <c r="I15" s="11">
        <f t="shared" si="7"/>
        <v>20</v>
      </c>
    </row>
    <row r="16" spans="1:15" ht="20.25" customHeight="1" x14ac:dyDescent="0.2">
      <c r="A16" s="59"/>
      <c r="B16" s="59"/>
      <c r="C16" s="11">
        <f t="shared" ref="C16:I16" si="8">C6*$L6</f>
        <v>27</v>
      </c>
      <c r="D16" s="5">
        <f t="shared" si="8"/>
        <v>27</v>
      </c>
      <c r="E16" s="11">
        <f t="shared" si="8"/>
        <v>-27</v>
      </c>
      <c r="F16" s="5">
        <f t="shared" si="8"/>
        <v>27</v>
      </c>
      <c r="G16" s="11">
        <f t="shared" si="8"/>
        <v>-27</v>
      </c>
      <c r="H16" s="5">
        <f t="shared" si="8"/>
        <v>-27</v>
      </c>
      <c r="I16" s="11">
        <f t="shared" si="8"/>
        <v>-27</v>
      </c>
    </row>
    <row r="17" spans="1:11" ht="20.25" customHeight="1" x14ac:dyDescent="0.2">
      <c r="A17" s="59"/>
      <c r="B17" s="59"/>
      <c r="C17" s="11">
        <f t="shared" ref="C17:I17" si="9">C7*$L7</f>
        <v>-21</v>
      </c>
      <c r="D17" s="5">
        <f t="shared" si="9"/>
        <v>-21</v>
      </c>
      <c r="E17" s="11">
        <f t="shared" si="9"/>
        <v>21</v>
      </c>
      <c r="F17" s="5">
        <f t="shared" si="9"/>
        <v>21</v>
      </c>
      <c r="G17" s="11">
        <f t="shared" si="9"/>
        <v>-21</v>
      </c>
      <c r="H17" s="5">
        <f t="shared" si="9"/>
        <v>-21</v>
      </c>
      <c r="I17" s="11">
        <f t="shared" si="9"/>
        <v>21</v>
      </c>
    </row>
    <row r="18" spans="1:11" ht="20.25" customHeight="1" x14ac:dyDescent="0.2">
      <c r="A18" s="59"/>
      <c r="B18" s="59"/>
      <c r="C18" s="11">
        <f t="shared" ref="C18:I18" si="10">C8*$L8</f>
        <v>23</v>
      </c>
      <c r="D18" s="5">
        <f t="shared" si="10"/>
        <v>-23</v>
      </c>
      <c r="E18" s="11">
        <f t="shared" si="10"/>
        <v>23</v>
      </c>
      <c r="F18" s="5">
        <f t="shared" si="10"/>
        <v>-23</v>
      </c>
      <c r="G18" s="11">
        <f t="shared" si="10"/>
        <v>23</v>
      </c>
      <c r="H18" s="5">
        <f t="shared" si="10"/>
        <v>-23</v>
      </c>
      <c r="I18" s="11">
        <f t="shared" si="10"/>
        <v>-23</v>
      </c>
    </row>
    <row r="19" spans="1:11" ht="20.25" customHeight="1" x14ac:dyDescent="0.2">
      <c r="A19" s="59"/>
      <c r="B19" s="59"/>
      <c r="C19" s="11">
        <f t="shared" ref="C19:I19" si="11">C9*$L9</f>
        <v>-18</v>
      </c>
      <c r="D19" s="5">
        <f t="shared" si="11"/>
        <v>18</v>
      </c>
      <c r="E19" s="11">
        <f t="shared" si="11"/>
        <v>18</v>
      </c>
      <c r="F19" s="5">
        <f t="shared" si="11"/>
        <v>-18</v>
      </c>
      <c r="G19" s="11">
        <f t="shared" si="11"/>
        <v>-18</v>
      </c>
      <c r="H19" s="5">
        <f t="shared" si="11"/>
        <v>18</v>
      </c>
      <c r="I19" s="11">
        <f t="shared" si="11"/>
        <v>-18</v>
      </c>
    </row>
    <row r="20" spans="1:11" ht="20.25" customHeight="1" x14ac:dyDescent="0.2">
      <c r="A20" s="59"/>
      <c r="B20" s="59"/>
      <c r="C20" s="11">
        <f t="shared" ref="C20:I20" si="12">C10*$L10</f>
        <v>30</v>
      </c>
      <c r="D20" s="5">
        <f t="shared" si="12"/>
        <v>30</v>
      </c>
      <c r="E20" s="11">
        <f t="shared" si="12"/>
        <v>30</v>
      </c>
      <c r="F20" s="5">
        <f t="shared" si="12"/>
        <v>30</v>
      </c>
      <c r="G20" s="11">
        <f t="shared" si="12"/>
        <v>30</v>
      </c>
      <c r="H20" s="5">
        <f t="shared" si="12"/>
        <v>30</v>
      </c>
      <c r="I20" s="11">
        <f t="shared" si="12"/>
        <v>30</v>
      </c>
    </row>
    <row r="21" spans="1:11" ht="20.25" customHeight="1" x14ac:dyDescent="0.2">
      <c r="A21" s="60"/>
      <c r="B21" s="60"/>
      <c r="C21" s="12">
        <f>SUM(C13:C20)</f>
        <v>27</v>
      </c>
      <c r="D21" s="12">
        <f t="shared" ref="D21:I21" si="13">SUM(D13:D20)</f>
        <v>13</v>
      </c>
      <c r="E21" s="12">
        <f t="shared" si="13"/>
        <v>7</v>
      </c>
      <c r="F21" s="12">
        <f t="shared" si="13"/>
        <v>11</v>
      </c>
      <c r="G21" s="12">
        <f t="shared" si="13"/>
        <v>1</v>
      </c>
      <c r="H21" s="12">
        <f t="shared" si="13"/>
        <v>-5</v>
      </c>
      <c r="I21" s="12">
        <f t="shared" si="13"/>
        <v>9</v>
      </c>
      <c r="K21" s="35" t="s">
        <v>74</v>
      </c>
    </row>
    <row r="22" spans="1:11" ht="20.25" customHeight="1" x14ac:dyDescent="0.2">
      <c r="A22" s="57" t="s">
        <v>23</v>
      </c>
      <c r="B22" s="57"/>
      <c r="C22" s="36">
        <f>C21/($N7*2^($N8-1))</f>
        <v>3.375</v>
      </c>
      <c r="D22" s="36">
        <f>D21/($N7*2^($N8-1))</f>
        <v>1.625</v>
      </c>
      <c r="E22" s="6">
        <f>E21/($N7*2^($N8-1))</f>
        <v>0.875</v>
      </c>
      <c r="F22" s="36">
        <f>F21/($N7*2^($N8-1))</f>
        <v>1.375</v>
      </c>
      <c r="G22" s="6">
        <f>G21/($N7*2^($N8-1))</f>
        <v>0.125</v>
      </c>
      <c r="H22" s="6">
        <f>H21/($N7*2^($N8-1))</f>
        <v>-0.625</v>
      </c>
      <c r="I22" s="6">
        <f>I21/($N7*2^($N8-1))</f>
        <v>1.125</v>
      </c>
      <c r="K22" s="22" t="s">
        <v>75</v>
      </c>
    </row>
    <row r="23" spans="1:11" ht="20.25" customHeight="1" x14ac:dyDescent="0.2">
      <c r="A23" s="57" t="s">
        <v>24</v>
      </c>
      <c r="B23" s="57"/>
      <c r="C23" s="6">
        <f>C21^2/($N7*2^$N8)</f>
        <v>45.5625</v>
      </c>
      <c r="D23" s="6">
        <f>D21^2/($N7*2^$N8)</f>
        <v>10.5625</v>
      </c>
      <c r="E23" s="6">
        <f>E21^2/($N7*2^$N8)</f>
        <v>3.0625</v>
      </c>
      <c r="F23" s="6">
        <f>F21^2/($N7*2^$N8)</f>
        <v>7.5625</v>
      </c>
      <c r="G23" s="6">
        <f>G21^2/($N7*2^$N8)</f>
        <v>6.25E-2</v>
      </c>
      <c r="H23" s="6">
        <f>H21^2/($N7*2^$N8)</f>
        <v>1.5625</v>
      </c>
      <c r="I23" s="6">
        <f>I21^2/($N7*2^$N8)</f>
        <v>5.0625</v>
      </c>
      <c r="K23" s="22" t="s">
        <v>76</v>
      </c>
    </row>
    <row r="25" spans="1:11" ht="20.25" customHeight="1" x14ac:dyDescent="0.2">
      <c r="A25" s="50" t="s">
        <v>31</v>
      </c>
      <c r="B25" s="50"/>
      <c r="C25" s="50"/>
      <c r="D25" s="50"/>
      <c r="E25" s="50"/>
      <c r="F25" s="50"/>
      <c r="G25" s="50"/>
      <c r="H25" s="50"/>
      <c r="I25" s="50"/>
    </row>
    <row r="26" spans="1:11" ht="20.25" customHeight="1" x14ac:dyDescent="0.2">
      <c r="A26" s="14" t="s">
        <v>29</v>
      </c>
      <c r="B26" s="51" t="str">
        <f xml:space="preserve"> N9 &amp; " + " &amp; C22/2 &amp;" x1 + " &amp; D22/2 &amp; " x2 + " &amp; F22/2 &amp; " x1 x2"</f>
        <v>11.0625 + 1.6875 x1 + 0.8125 x2 + 0.6875 x1 x2</v>
      </c>
      <c r="C26" s="51"/>
      <c r="D26" s="51"/>
      <c r="E26" s="51"/>
      <c r="F26" s="51"/>
      <c r="G26" s="51"/>
      <c r="H26" s="51"/>
      <c r="I26" s="51"/>
    </row>
    <row r="27" spans="1:11" ht="20.25" customHeight="1" x14ac:dyDescent="0.2">
      <c r="A27" s="52" t="s">
        <v>28</v>
      </c>
      <c r="B27" s="52"/>
      <c r="C27" s="52"/>
      <c r="D27" s="52"/>
      <c r="E27" s="52"/>
      <c r="F27" s="52"/>
      <c r="G27" s="52"/>
      <c r="H27" s="52"/>
      <c r="I27" s="52"/>
    </row>
    <row r="28" spans="1:11" ht="20.25" customHeight="1" x14ac:dyDescent="0.2">
      <c r="A28" s="14" t="s">
        <v>29</v>
      </c>
      <c r="B28" s="53">
        <f>11.0625 + 1.6875*(-1)+0.8125*(-1)+0.6875*(-1)*(-1)</f>
        <v>9.25</v>
      </c>
      <c r="C28" s="53"/>
      <c r="D28" s="53"/>
      <c r="E28" s="53"/>
      <c r="F28" s="53"/>
      <c r="G28" s="53"/>
      <c r="H28" s="53"/>
      <c r="I28" s="53"/>
    </row>
    <row r="30" spans="1:11" ht="20.25" customHeight="1" x14ac:dyDescent="0.2">
      <c r="C30" s="3" t="s">
        <v>3</v>
      </c>
      <c r="D30" s="3" t="s">
        <v>4</v>
      </c>
      <c r="E30" s="3" t="s">
        <v>5</v>
      </c>
      <c r="F30" s="3" t="s">
        <v>6</v>
      </c>
      <c r="G30" s="3" t="s">
        <v>7</v>
      </c>
      <c r="H30" s="3" t="s">
        <v>8</v>
      </c>
      <c r="I30" s="3" t="s">
        <v>9</v>
      </c>
      <c r="J30" s="21" t="s">
        <v>30</v>
      </c>
    </row>
    <row r="31" spans="1:11" ht="20.25" customHeight="1" x14ac:dyDescent="0.2">
      <c r="C31" s="5">
        <v>-1</v>
      </c>
      <c r="D31" s="5">
        <v>-1</v>
      </c>
      <c r="E31" s="5">
        <v>-1</v>
      </c>
      <c r="F31" s="6">
        <f>C31*D31</f>
        <v>1</v>
      </c>
      <c r="G31" s="6">
        <f>C31*E31</f>
        <v>1</v>
      </c>
      <c r="H31" s="6">
        <f>D31*E31</f>
        <v>1</v>
      </c>
      <c r="I31" s="6">
        <f>C31*D31*E31</f>
        <v>-1</v>
      </c>
      <c r="J31" s="23">
        <f>$N$9+$C$22/2*C31+$D$22/2*D31+$E$22/2*E31+$F$22/2*F31+$G$22/2*G31+$H$22/2*H31+$I$22/2*I31</f>
        <v>8</v>
      </c>
      <c r="K31" s="22"/>
    </row>
    <row r="32" spans="1:11" ht="20.25" customHeight="1" x14ac:dyDescent="0.2">
      <c r="C32" s="5">
        <v>1</v>
      </c>
      <c r="D32" s="5">
        <v>-1</v>
      </c>
      <c r="E32" s="5">
        <v>-1</v>
      </c>
      <c r="F32" s="6">
        <f t="shared" ref="F32:F38" si="14">C32*D32</f>
        <v>-1</v>
      </c>
      <c r="G32" s="6">
        <f t="shared" ref="G32:G38" si="15">C32*E32</f>
        <v>-1</v>
      </c>
      <c r="H32" s="6">
        <f t="shared" ref="H32:H38" si="16">D32*E32</f>
        <v>1</v>
      </c>
      <c r="I32" s="6">
        <f t="shared" ref="I32:I38" si="17">C32*D32*E32</f>
        <v>1</v>
      </c>
      <c r="J32" s="23">
        <f>$N$9+$C$22/2*C32+$D$22/2*D32+$E$22/2*E32+$F$22/2*F32+$G$22/2*G32+$H$22/2*H32+$I$22/2*I32</f>
        <v>11</v>
      </c>
    </row>
    <row r="33" spans="3:13" ht="20.25" customHeight="1" x14ac:dyDescent="0.2">
      <c r="C33" s="5">
        <v>-1</v>
      </c>
      <c r="D33" s="5">
        <v>1</v>
      </c>
      <c r="E33" s="5">
        <v>-1</v>
      </c>
      <c r="F33" s="6">
        <f t="shared" si="14"/>
        <v>-1</v>
      </c>
      <c r="G33" s="6">
        <f t="shared" si="15"/>
        <v>1</v>
      </c>
      <c r="H33" s="6">
        <f t="shared" si="16"/>
        <v>-1</v>
      </c>
      <c r="I33" s="6">
        <f t="shared" si="17"/>
        <v>1</v>
      </c>
      <c r="J33" s="23">
        <f>$N$9+$C$22/2*C33+$D$22/2*D33+$E$22/2*E33+$F$22/2*F33+$G$22/2*G33+$H$22/2*H33+$I$22/2*I33</f>
        <v>10</v>
      </c>
    </row>
    <row r="34" spans="3:13" ht="20.25" customHeight="1" x14ac:dyDescent="0.2">
      <c r="C34" s="5">
        <v>1</v>
      </c>
      <c r="D34" s="5">
        <v>1</v>
      </c>
      <c r="E34" s="5">
        <v>-1</v>
      </c>
      <c r="F34" s="6">
        <f t="shared" si="14"/>
        <v>1</v>
      </c>
      <c r="G34" s="6">
        <f t="shared" si="15"/>
        <v>-1</v>
      </c>
      <c r="H34" s="6">
        <f t="shared" si="16"/>
        <v>-1</v>
      </c>
      <c r="I34" s="6">
        <f t="shared" si="17"/>
        <v>-1</v>
      </c>
      <c r="J34" s="23">
        <f>$N$9+$C$22/2*C34+$D$22/2*D34+$E$22/2*E34+$F$22/2*F34+$G$22/2*G34+$H$22/2*H34+$I$22/2*I34</f>
        <v>13.5</v>
      </c>
    </row>
    <row r="35" spans="3:13" ht="20.25" customHeight="1" x14ac:dyDescent="0.2">
      <c r="C35" s="5">
        <v>-1</v>
      </c>
      <c r="D35" s="5">
        <v>-1</v>
      </c>
      <c r="E35" s="5">
        <v>1</v>
      </c>
      <c r="F35" s="6">
        <f t="shared" si="14"/>
        <v>1</v>
      </c>
      <c r="G35" s="6">
        <f t="shared" si="15"/>
        <v>-1</v>
      </c>
      <c r="H35" s="6">
        <f t="shared" si="16"/>
        <v>-1</v>
      </c>
      <c r="I35" s="6">
        <f t="shared" si="17"/>
        <v>1</v>
      </c>
      <c r="J35" s="23">
        <f>$N$9+$C$22/2*C35+$D$22/2*D35+$E$22/2*E35+$F$22/2*F35+$G$22/2*G35+$H$22/2*H35+$I$22/2*I35</f>
        <v>10.5</v>
      </c>
    </row>
    <row r="36" spans="3:13" ht="20.25" customHeight="1" x14ac:dyDescent="0.2">
      <c r="C36" s="5">
        <v>1</v>
      </c>
      <c r="D36" s="5">
        <v>-1</v>
      </c>
      <c r="E36" s="5">
        <v>1</v>
      </c>
      <c r="F36" s="6">
        <f t="shared" si="14"/>
        <v>-1</v>
      </c>
      <c r="G36" s="6">
        <f t="shared" si="15"/>
        <v>1</v>
      </c>
      <c r="H36" s="6">
        <f t="shared" si="16"/>
        <v>-1</v>
      </c>
      <c r="I36" s="6">
        <f t="shared" si="17"/>
        <v>-1</v>
      </c>
      <c r="J36" s="23">
        <f>$N$9+$C$22/2*C36+$D$22/2*D36+$E$22/2*E36+$F$22/2*F36+$G$22/2*G36+$H$22/2*H36+$I$22/2*I36</f>
        <v>11.5</v>
      </c>
    </row>
    <row r="37" spans="3:13" ht="20.25" customHeight="1" x14ac:dyDescent="0.2">
      <c r="C37" s="5">
        <v>-1</v>
      </c>
      <c r="D37" s="5">
        <v>1</v>
      </c>
      <c r="E37" s="5">
        <v>1</v>
      </c>
      <c r="F37" s="6">
        <f t="shared" si="14"/>
        <v>-1</v>
      </c>
      <c r="G37" s="6">
        <f t="shared" si="15"/>
        <v>-1</v>
      </c>
      <c r="H37" s="6">
        <f t="shared" si="16"/>
        <v>1</v>
      </c>
      <c r="I37" s="6">
        <f t="shared" si="17"/>
        <v>-1</v>
      </c>
      <c r="J37" s="23">
        <f>$N$9+$C$22/2*C37+$D$22/2*D37+$E$22/2*E37+$F$22/2*F37+$G$22/2*G37+$H$22/2*H37+$I$22/2*I37</f>
        <v>9</v>
      </c>
    </row>
    <row r="38" spans="3:13" ht="20.25" customHeight="1" x14ac:dyDescent="0.2">
      <c r="C38" s="5">
        <v>1</v>
      </c>
      <c r="D38" s="5">
        <v>1</v>
      </c>
      <c r="E38" s="5">
        <v>1</v>
      </c>
      <c r="F38" s="6">
        <f t="shared" si="14"/>
        <v>1</v>
      </c>
      <c r="G38" s="6">
        <f t="shared" si="15"/>
        <v>1</v>
      </c>
      <c r="H38" s="6">
        <f t="shared" si="16"/>
        <v>1</v>
      </c>
      <c r="I38" s="6">
        <f t="shared" si="17"/>
        <v>1</v>
      </c>
      <c r="J38" s="23">
        <f>$N$9+$C$22/2*C38+$D$22/2*D38+$E$22/2*E38+$F$22/2*F38+$G$22/2*G38+$H$22/2*H38+$I$22/2*I38</f>
        <v>15</v>
      </c>
    </row>
    <row r="39" spans="3:13" ht="20.25" customHeight="1" x14ac:dyDescent="0.2">
      <c r="J39" s="54" t="s">
        <v>32</v>
      </c>
      <c r="K39" s="55"/>
    </row>
    <row r="40" spans="3:13" ht="20.25" customHeight="1" x14ac:dyDescent="0.2">
      <c r="J40" s="16" t="s">
        <v>20</v>
      </c>
      <c r="K40" s="16" t="s">
        <v>21</v>
      </c>
    </row>
    <row r="41" spans="3:13" ht="20.25" customHeight="1" x14ac:dyDescent="0.2">
      <c r="J41" s="18">
        <f t="shared" ref="J41:K41" si="18">J3-$J31</f>
        <v>1</v>
      </c>
      <c r="K41" s="18">
        <f t="shared" si="18"/>
        <v>-1</v>
      </c>
    </row>
    <row r="42" spans="3:13" ht="20.25" customHeight="1" x14ac:dyDescent="0.2">
      <c r="J42" s="18">
        <f t="shared" ref="J42:K42" si="19">J4-$J32</f>
        <v>-1</v>
      </c>
      <c r="K42" s="18">
        <f t="shared" si="19"/>
        <v>1</v>
      </c>
    </row>
    <row r="43" spans="3:13" ht="20.25" customHeight="1" x14ac:dyDescent="0.2">
      <c r="J43" s="18">
        <f t="shared" ref="J43:K43" si="20">J5-$J33</f>
        <v>-1</v>
      </c>
      <c r="K43" s="18">
        <f t="shared" si="20"/>
        <v>1</v>
      </c>
    </row>
    <row r="44" spans="3:13" ht="20.25" customHeight="1" x14ac:dyDescent="0.2">
      <c r="J44" s="18">
        <f>J6-$J34</f>
        <v>-1.5</v>
      </c>
      <c r="K44" s="18">
        <f>K6-$J34</f>
        <v>1.5</v>
      </c>
    </row>
    <row r="45" spans="3:13" ht="20.25" customHeight="1" x14ac:dyDescent="0.2">
      <c r="J45" s="18">
        <f t="shared" ref="J45:K45" si="21">J7-$J35</f>
        <v>0.5</v>
      </c>
      <c r="K45" s="18">
        <f t="shared" si="21"/>
        <v>-0.5</v>
      </c>
    </row>
    <row r="46" spans="3:13" ht="20.25" customHeight="1" x14ac:dyDescent="0.2">
      <c r="J46" s="18">
        <f t="shared" ref="J46:K46" si="22">J8-$J36</f>
        <v>-1.5</v>
      </c>
      <c r="K46" s="18">
        <f t="shared" si="22"/>
        <v>1.5</v>
      </c>
    </row>
    <row r="47" spans="3:13" ht="20.25" customHeight="1" x14ac:dyDescent="0.2">
      <c r="J47" s="18">
        <f t="shared" ref="J47:K47" si="23">J9-$J37</f>
        <v>1</v>
      </c>
      <c r="K47" s="18">
        <f t="shared" si="23"/>
        <v>-1</v>
      </c>
      <c r="L47" s="16" t="s">
        <v>33</v>
      </c>
    </row>
    <row r="48" spans="3:13" ht="20.25" customHeight="1" x14ac:dyDescent="0.2">
      <c r="J48" s="18">
        <f>J10-$J38</f>
        <v>1</v>
      </c>
      <c r="K48" s="18">
        <f>K10-$J38</f>
        <v>-1</v>
      </c>
      <c r="L48" s="24">
        <f>SUMSQ(J41:K48)</f>
        <v>19.5</v>
      </c>
      <c r="M48" s="22" t="s">
        <v>77</v>
      </c>
    </row>
    <row r="49" spans="1:14" ht="20.25" customHeight="1" x14ac:dyDescent="0.2">
      <c r="C49" s="1" t="s">
        <v>78</v>
      </c>
    </row>
    <row r="50" spans="1:14" ht="20.25" customHeight="1" x14ac:dyDescent="0.2">
      <c r="A50" s="56" t="s">
        <v>34</v>
      </c>
      <c r="B50" s="50"/>
      <c r="C50" s="50"/>
      <c r="D50" s="50"/>
      <c r="E50" s="50"/>
      <c r="F50" s="50"/>
      <c r="G50"/>
      <c r="H50"/>
      <c r="I50"/>
      <c r="L50" s="1"/>
      <c r="M50" s="1"/>
      <c r="N50" s="1"/>
    </row>
    <row r="51" spans="1:14" ht="40" customHeight="1" x14ac:dyDescent="0.2">
      <c r="A51" s="3" t="s">
        <v>35</v>
      </c>
      <c r="B51" s="3" t="s">
        <v>24</v>
      </c>
      <c r="C51" s="3" t="s">
        <v>36</v>
      </c>
      <c r="D51" s="3" t="s">
        <v>37</v>
      </c>
      <c r="E51" s="3" t="s">
        <v>38</v>
      </c>
      <c r="F51" s="3" t="s">
        <v>39</v>
      </c>
      <c r="G51" s="25" t="s">
        <v>41</v>
      </c>
      <c r="H51"/>
      <c r="I51"/>
      <c r="L51" s="1"/>
      <c r="M51" s="1"/>
      <c r="N51" s="1"/>
    </row>
    <row r="52" spans="1:14" ht="20.25" customHeight="1" x14ac:dyDescent="0.2">
      <c r="A52" s="7" t="s">
        <v>3</v>
      </c>
      <c r="B52" s="7">
        <f>C23</f>
        <v>45.5625</v>
      </c>
      <c r="C52" s="7">
        <v>1</v>
      </c>
      <c r="D52" s="7">
        <f>B52/C52</f>
        <v>45.5625</v>
      </c>
      <c r="E52" s="7">
        <f>D52/$D$59</f>
        <v>18.692307692307693</v>
      </c>
      <c r="F52" s="7">
        <f>_xlfn.F.DIST.RT(E52, C52, $C$59)</f>
        <v>2.5342183793248541E-3</v>
      </c>
      <c r="G52" s="26" t="s">
        <v>80</v>
      </c>
      <c r="H52" s="37" t="s">
        <v>81</v>
      </c>
    </row>
    <row r="53" spans="1:14" ht="20.25" customHeight="1" x14ac:dyDescent="0.2">
      <c r="A53" s="7" t="s">
        <v>4</v>
      </c>
      <c r="B53" s="7">
        <f>D23</f>
        <v>10.5625</v>
      </c>
      <c r="C53" s="7">
        <v>1</v>
      </c>
      <c r="D53" s="7">
        <f t="shared" ref="D53:D58" si="24">B53/C53</f>
        <v>10.5625</v>
      </c>
      <c r="E53" s="7">
        <f t="shared" ref="E53:E58" si="25">D53/$D$59</f>
        <v>4.333333333333333</v>
      </c>
      <c r="F53" s="7">
        <f t="shared" ref="F53:F58" si="26">_xlfn.F.DIST.RT(E53, C53, $C$59)</f>
        <v>7.0931245153521144E-2</v>
      </c>
      <c r="G53" s="26" t="s">
        <v>80</v>
      </c>
    </row>
    <row r="54" spans="1:14" ht="20.25" customHeight="1" x14ac:dyDescent="0.2">
      <c r="A54" s="7" t="s">
        <v>5</v>
      </c>
      <c r="B54" s="7">
        <f>E23</f>
        <v>3.0625</v>
      </c>
      <c r="C54" s="7">
        <v>1</v>
      </c>
      <c r="D54" s="7">
        <f t="shared" si="24"/>
        <v>3.0625</v>
      </c>
      <c r="E54" s="7">
        <f t="shared" si="25"/>
        <v>1.2564102564102564</v>
      </c>
      <c r="F54" s="7">
        <f t="shared" si="26"/>
        <v>0.29484895930913857</v>
      </c>
      <c r="G54" s="26"/>
    </row>
    <row r="55" spans="1:14" ht="20.25" customHeight="1" x14ac:dyDescent="0.2">
      <c r="A55" s="7" t="s">
        <v>6</v>
      </c>
      <c r="B55" s="7">
        <f>F23</f>
        <v>7.5625</v>
      </c>
      <c r="C55" s="7">
        <v>1</v>
      </c>
      <c r="D55" s="7">
        <f t="shared" si="24"/>
        <v>7.5625</v>
      </c>
      <c r="E55" s="7">
        <f t="shared" si="25"/>
        <v>3.1025641025641026</v>
      </c>
      <c r="F55" s="7">
        <f t="shared" si="26"/>
        <v>0.11619707388209986</v>
      </c>
      <c r="G55" s="26"/>
    </row>
    <row r="56" spans="1:14" ht="20.25" customHeight="1" x14ac:dyDescent="0.2">
      <c r="A56" s="7" t="s">
        <v>7</v>
      </c>
      <c r="B56" s="7">
        <f>G23</f>
        <v>6.25E-2</v>
      </c>
      <c r="C56" s="7">
        <v>1</v>
      </c>
      <c r="D56" s="7">
        <f t="shared" si="24"/>
        <v>6.25E-2</v>
      </c>
      <c r="E56" s="7">
        <f t="shared" si="25"/>
        <v>2.564102564102564E-2</v>
      </c>
      <c r="F56" s="7">
        <f t="shared" si="26"/>
        <v>0.87674946427651212</v>
      </c>
      <c r="G56" s="26"/>
    </row>
    <row r="57" spans="1:14" ht="20.25" customHeight="1" x14ac:dyDescent="0.2">
      <c r="A57" s="7" t="s">
        <v>8</v>
      </c>
      <c r="B57" s="7">
        <f>H23</f>
        <v>1.5625</v>
      </c>
      <c r="C57" s="7">
        <v>1</v>
      </c>
      <c r="D57" s="7">
        <f t="shared" si="24"/>
        <v>1.5625</v>
      </c>
      <c r="E57" s="7">
        <f t="shared" si="25"/>
        <v>0.64102564102564108</v>
      </c>
      <c r="F57" s="7">
        <f t="shared" si="26"/>
        <v>0.4464629199074549</v>
      </c>
      <c r="G57" s="26"/>
    </row>
    <row r="58" spans="1:14" ht="20.25" customHeight="1" x14ac:dyDescent="0.2">
      <c r="A58" s="7" t="s">
        <v>9</v>
      </c>
      <c r="B58" s="7">
        <f>I23</f>
        <v>5.0625</v>
      </c>
      <c r="C58" s="7">
        <v>1</v>
      </c>
      <c r="D58" s="7">
        <f t="shared" si="24"/>
        <v>5.0625</v>
      </c>
      <c r="E58" s="7">
        <f t="shared" si="25"/>
        <v>2.0769230769230771</v>
      </c>
      <c r="F58" s="7">
        <f t="shared" si="26"/>
        <v>0.18751226181309197</v>
      </c>
      <c r="G58" s="26"/>
    </row>
    <row r="59" spans="1:14" ht="20.25" customHeight="1" x14ac:dyDescent="0.2">
      <c r="A59" s="7" t="s">
        <v>32</v>
      </c>
      <c r="B59" s="7">
        <f>L48</f>
        <v>19.5</v>
      </c>
      <c r="C59" s="13">
        <f>(2*2*2*(2-1))</f>
        <v>8</v>
      </c>
      <c r="D59" s="13">
        <f>B59/C59</f>
        <v>2.4375</v>
      </c>
    </row>
    <row r="60" spans="1:14" ht="20.25" customHeight="1" x14ac:dyDescent="0.2">
      <c r="A60" s="7" t="s">
        <v>40</v>
      </c>
      <c r="B60" s="7"/>
      <c r="C60" s="13">
        <f>SUM(C52:C59)</f>
        <v>15</v>
      </c>
    </row>
    <row r="61" spans="1:14" ht="20.25" customHeight="1" x14ac:dyDescent="0.2">
      <c r="C61" s="1">
        <v>15</v>
      </c>
      <c r="D61" s="37" t="s">
        <v>79</v>
      </c>
    </row>
    <row r="64" spans="1:14" ht="20.25" customHeight="1" x14ac:dyDescent="0.2">
      <c r="A64" s="50" t="s">
        <v>31</v>
      </c>
      <c r="B64" s="50"/>
      <c r="C64" s="50"/>
      <c r="D64" s="50"/>
      <c r="E64" s="50"/>
      <c r="F64" s="50"/>
      <c r="G64" s="50"/>
      <c r="H64" s="50"/>
      <c r="I64" s="50"/>
    </row>
    <row r="65" spans="1:10" ht="20.25" customHeight="1" x14ac:dyDescent="0.2">
      <c r="A65" s="14" t="s">
        <v>29</v>
      </c>
      <c r="B65" s="51" t="str">
        <f xml:space="preserve"> N9 &amp; " + " &amp; C22/2 &amp;" x1 + " &amp; D22/2 &amp; " x2 + " &amp; F22/2 &amp; " x1 x2"</f>
        <v>11.0625 + 1.6875 x1 + 0.8125 x2 + 0.6875 x1 x2</v>
      </c>
      <c r="C65" s="51"/>
      <c r="D65" s="51"/>
      <c r="E65" s="51"/>
      <c r="F65" s="51"/>
      <c r="G65" s="51"/>
      <c r="H65" s="51"/>
      <c r="I65" s="51"/>
    </row>
    <row r="66" spans="1:10" ht="20.25" customHeight="1" x14ac:dyDescent="0.2">
      <c r="A66" s="52" t="s">
        <v>28</v>
      </c>
      <c r="B66" s="52"/>
      <c r="C66" s="52"/>
      <c r="D66" s="52"/>
      <c r="E66" s="52"/>
      <c r="F66" s="52"/>
      <c r="G66" s="52"/>
      <c r="H66" s="52"/>
      <c r="I66" s="52"/>
    </row>
    <row r="67" spans="1:10" ht="20.25" customHeight="1" x14ac:dyDescent="0.2">
      <c r="A67" s="14" t="s">
        <v>29</v>
      </c>
      <c r="B67" s="53">
        <f>11.0625 + 1.6875*(-1)+0.8125*(-1)</f>
        <v>8.5625</v>
      </c>
      <c r="C67" s="53"/>
      <c r="D67" s="53"/>
      <c r="E67" s="53"/>
      <c r="F67" s="53"/>
      <c r="G67" s="53"/>
      <c r="H67" s="53"/>
      <c r="I67" s="53"/>
      <c r="J67" t="s">
        <v>82</v>
      </c>
    </row>
  </sheetData>
  <mergeCells count="17">
    <mergeCell ref="A1:A2"/>
    <mergeCell ref="B1:I1"/>
    <mergeCell ref="J1:K1"/>
    <mergeCell ref="L1:L2"/>
    <mergeCell ref="A12:B21"/>
    <mergeCell ref="B28:I28"/>
    <mergeCell ref="A22:B22"/>
    <mergeCell ref="A23:B23"/>
    <mergeCell ref="A25:I25"/>
    <mergeCell ref="B26:I26"/>
    <mergeCell ref="A27:I27"/>
    <mergeCell ref="A64:I64"/>
    <mergeCell ref="B65:I65"/>
    <mergeCell ref="A66:I66"/>
    <mergeCell ref="B67:I67"/>
    <mergeCell ref="J39:K39"/>
    <mergeCell ref="A50:F5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5532-18CA-42B4-8EE5-AC582A25221F}">
  <dimension ref="A1:S49"/>
  <sheetViews>
    <sheetView zoomScale="110" zoomScaleNormal="75" workbookViewId="0">
      <selection activeCell="D44" sqref="D44"/>
    </sheetView>
  </sheetViews>
  <sheetFormatPr baseColWidth="10" defaultColWidth="10.6640625" defaultRowHeight="15" x14ac:dyDescent="0.2"/>
  <cols>
    <col min="1" max="1" width="15.6640625" customWidth="1"/>
    <col min="2" max="2" width="10.6640625" customWidth="1"/>
    <col min="3" max="18" width="8.6640625" customWidth="1"/>
  </cols>
  <sheetData>
    <row r="1" spans="1:18" ht="20.25" customHeight="1" x14ac:dyDescent="0.2">
      <c r="A1" t="s">
        <v>42</v>
      </c>
    </row>
    <row r="2" spans="1:18" ht="20.25" customHeight="1" x14ac:dyDescent="0.2">
      <c r="A2" t="s">
        <v>43</v>
      </c>
    </row>
    <row r="3" spans="1:18" ht="20.25" customHeight="1" x14ac:dyDescent="0.2">
      <c r="A3" t="s">
        <v>44</v>
      </c>
    </row>
    <row r="4" spans="1:18" ht="20.25" customHeight="1" x14ac:dyDescent="0.2">
      <c r="A4" t="s">
        <v>45</v>
      </c>
    </row>
    <row r="6" spans="1:18" ht="20.25" customHeight="1" x14ac:dyDescent="0.2">
      <c r="A6" s="46" t="s">
        <v>0</v>
      </c>
      <c r="B6" s="63" t="s">
        <v>64</v>
      </c>
      <c r="C6" s="46" t="s">
        <v>1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</row>
    <row r="7" spans="1:18" ht="20.25" customHeight="1" x14ac:dyDescent="0.2">
      <c r="A7" s="46"/>
      <c r="B7" s="64"/>
      <c r="C7" s="3" t="s">
        <v>2</v>
      </c>
      <c r="D7" s="3" t="s">
        <v>3</v>
      </c>
      <c r="E7" s="3" t="s">
        <v>4</v>
      </c>
      <c r="F7" s="3" t="s">
        <v>5</v>
      </c>
      <c r="G7" s="3" t="s">
        <v>46</v>
      </c>
      <c r="H7" s="3" t="s">
        <v>6</v>
      </c>
      <c r="I7" s="3" t="s">
        <v>7</v>
      </c>
      <c r="J7" s="3" t="s">
        <v>55</v>
      </c>
      <c r="K7" s="3" t="s">
        <v>8</v>
      </c>
      <c r="L7" s="3" t="s">
        <v>56</v>
      </c>
      <c r="M7" s="3" t="s">
        <v>57</v>
      </c>
      <c r="N7" s="3" t="s">
        <v>9</v>
      </c>
      <c r="O7" s="3" t="s">
        <v>58</v>
      </c>
      <c r="P7" s="3" t="s">
        <v>59</v>
      </c>
      <c r="Q7" s="3" t="s">
        <v>60</v>
      </c>
      <c r="R7" s="3" t="s">
        <v>61</v>
      </c>
    </row>
    <row r="8" spans="1:18" ht="20.25" customHeight="1" x14ac:dyDescent="0.2">
      <c r="A8" s="4" t="s">
        <v>10</v>
      </c>
      <c r="B8" s="4">
        <v>550</v>
      </c>
      <c r="C8" s="5">
        <v>1</v>
      </c>
      <c r="D8" s="5">
        <v>-1</v>
      </c>
      <c r="E8" s="5">
        <v>-1</v>
      </c>
      <c r="F8" s="5">
        <v>-1</v>
      </c>
      <c r="G8" s="5">
        <v>-1</v>
      </c>
      <c r="H8" s="6">
        <f>$D8*E8</f>
        <v>1</v>
      </c>
      <c r="I8" s="6">
        <f>$D8*F8</f>
        <v>1</v>
      </c>
      <c r="J8" s="6">
        <f>$D8*G8</f>
        <v>1</v>
      </c>
      <c r="K8" s="38">
        <f>$E8*F8</f>
        <v>1</v>
      </c>
      <c r="L8" s="38">
        <f>$E8*G8</f>
        <v>1</v>
      </c>
      <c r="M8" s="6">
        <f>F8*G8</f>
        <v>1</v>
      </c>
      <c r="N8" s="6">
        <f>D8*E8*F8</f>
        <v>-1</v>
      </c>
      <c r="O8" s="6">
        <f>D8*E8*G8</f>
        <v>-1</v>
      </c>
      <c r="P8" s="6">
        <f>D8*F8*G8</f>
        <v>-1</v>
      </c>
      <c r="Q8" s="6">
        <f>E8*F8*G8</f>
        <v>-1</v>
      </c>
      <c r="R8" s="6">
        <f>D8*E8*F8*G8</f>
        <v>1</v>
      </c>
    </row>
    <row r="9" spans="1:18" ht="20.25" customHeight="1" x14ac:dyDescent="0.2">
      <c r="A9" s="5" t="s">
        <v>11</v>
      </c>
      <c r="B9" s="5">
        <v>669</v>
      </c>
      <c r="C9" s="5">
        <v>1</v>
      </c>
      <c r="D9" s="5">
        <v>1</v>
      </c>
      <c r="E9" s="5">
        <v>-1</v>
      </c>
      <c r="F9" s="5">
        <v>-1</v>
      </c>
      <c r="G9" s="5">
        <v>-1</v>
      </c>
      <c r="H9" s="6">
        <f t="shared" ref="H9:H23" si="0">$D9*E9</f>
        <v>-1</v>
      </c>
      <c r="I9" s="6">
        <f t="shared" ref="I9:I23" si="1">$D9*F9</f>
        <v>-1</v>
      </c>
      <c r="J9" s="6">
        <f t="shared" ref="J9:J23" si="2">$D9*G9</f>
        <v>-1</v>
      </c>
      <c r="K9" s="38">
        <f t="shared" ref="K9:K23" si="3">$E9*F9</f>
        <v>1</v>
      </c>
      <c r="L9" s="38">
        <f t="shared" ref="L9:L23" si="4">$E9*G9</f>
        <v>1</v>
      </c>
      <c r="M9" s="6">
        <f t="shared" ref="M9:M23" si="5">F9*G9</f>
        <v>1</v>
      </c>
      <c r="N9" s="6">
        <f t="shared" ref="N9:N23" si="6">D9*E9*F9</f>
        <v>1</v>
      </c>
      <c r="O9" s="6">
        <f t="shared" ref="O9:O23" si="7">D9*E9*G9</f>
        <v>1</v>
      </c>
      <c r="P9" s="6">
        <f t="shared" ref="P9:P23" si="8">D9*F9*G9</f>
        <v>1</v>
      </c>
      <c r="Q9" s="6">
        <f t="shared" ref="Q9:Q23" si="9">E9*F9*G9</f>
        <v>-1</v>
      </c>
      <c r="R9" s="6">
        <f t="shared" ref="R9:R23" si="10">D9*E9*F9*G9</f>
        <v>-1</v>
      </c>
    </row>
    <row r="10" spans="1:18" ht="20.25" customHeight="1" x14ac:dyDescent="0.2">
      <c r="A10" s="5" t="s">
        <v>12</v>
      </c>
      <c r="B10" s="5">
        <v>604</v>
      </c>
      <c r="C10" s="5">
        <v>1</v>
      </c>
      <c r="D10" s="5">
        <v>-1</v>
      </c>
      <c r="E10" s="5">
        <v>1</v>
      </c>
      <c r="F10" s="5">
        <v>-1</v>
      </c>
      <c r="G10" s="5">
        <v>-1</v>
      </c>
      <c r="H10" s="6">
        <f t="shared" si="0"/>
        <v>-1</v>
      </c>
      <c r="I10" s="6">
        <f t="shared" si="1"/>
        <v>1</v>
      </c>
      <c r="J10" s="6">
        <f t="shared" si="2"/>
        <v>1</v>
      </c>
      <c r="K10" s="38">
        <f t="shared" si="3"/>
        <v>-1</v>
      </c>
      <c r="L10" s="38">
        <f t="shared" si="4"/>
        <v>-1</v>
      </c>
      <c r="M10" s="6">
        <f t="shared" si="5"/>
        <v>1</v>
      </c>
      <c r="N10" s="6">
        <f t="shared" si="6"/>
        <v>1</v>
      </c>
      <c r="O10" s="6">
        <f t="shared" si="7"/>
        <v>1</v>
      </c>
      <c r="P10" s="6">
        <f t="shared" si="8"/>
        <v>-1</v>
      </c>
      <c r="Q10" s="6">
        <f t="shared" si="9"/>
        <v>1</v>
      </c>
      <c r="R10" s="6">
        <f t="shared" si="10"/>
        <v>-1</v>
      </c>
    </row>
    <row r="11" spans="1:18" ht="20.25" customHeight="1" x14ac:dyDescent="0.2">
      <c r="A11" s="5" t="s">
        <v>14</v>
      </c>
      <c r="B11" s="5">
        <v>650</v>
      </c>
      <c r="C11" s="5">
        <v>1</v>
      </c>
      <c r="D11" s="5">
        <v>1</v>
      </c>
      <c r="E11" s="5">
        <v>1</v>
      </c>
      <c r="F11" s="5">
        <v>-1</v>
      </c>
      <c r="G11" s="5">
        <v>-1</v>
      </c>
      <c r="H11" s="6">
        <f t="shared" si="0"/>
        <v>1</v>
      </c>
      <c r="I11" s="6">
        <f t="shared" si="1"/>
        <v>-1</v>
      </c>
      <c r="J11" s="6">
        <f t="shared" si="2"/>
        <v>-1</v>
      </c>
      <c r="K11" s="38">
        <f t="shared" si="3"/>
        <v>-1</v>
      </c>
      <c r="L11" s="38">
        <f t="shared" si="4"/>
        <v>-1</v>
      </c>
      <c r="M11" s="6">
        <f t="shared" si="5"/>
        <v>1</v>
      </c>
      <c r="N11" s="6">
        <f t="shared" si="6"/>
        <v>-1</v>
      </c>
      <c r="O11" s="6">
        <f t="shared" si="7"/>
        <v>-1</v>
      </c>
      <c r="P11" s="6">
        <f t="shared" si="8"/>
        <v>1</v>
      </c>
      <c r="Q11" s="6">
        <f t="shared" si="9"/>
        <v>1</v>
      </c>
      <c r="R11" s="6">
        <f t="shared" si="10"/>
        <v>1</v>
      </c>
    </row>
    <row r="12" spans="1:18" ht="20.25" customHeight="1" x14ac:dyDescent="0.2">
      <c r="A12" s="5" t="s">
        <v>13</v>
      </c>
      <c r="B12" s="5">
        <v>633</v>
      </c>
      <c r="C12" s="5">
        <v>1</v>
      </c>
      <c r="D12" s="5">
        <v>-1</v>
      </c>
      <c r="E12" s="5">
        <v>-1</v>
      </c>
      <c r="F12" s="5">
        <v>1</v>
      </c>
      <c r="G12" s="5">
        <v>-1</v>
      </c>
      <c r="H12" s="6">
        <f t="shared" si="0"/>
        <v>1</v>
      </c>
      <c r="I12" s="6">
        <f t="shared" si="1"/>
        <v>-1</v>
      </c>
      <c r="J12" s="6">
        <f t="shared" si="2"/>
        <v>1</v>
      </c>
      <c r="K12" s="38">
        <f t="shared" si="3"/>
        <v>-1</v>
      </c>
      <c r="L12" s="38">
        <f t="shared" si="4"/>
        <v>1</v>
      </c>
      <c r="M12" s="6">
        <f t="shared" si="5"/>
        <v>-1</v>
      </c>
      <c r="N12" s="6">
        <f t="shared" si="6"/>
        <v>1</v>
      </c>
      <c r="O12" s="6">
        <f t="shared" si="7"/>
        <v>-1</v>
      </c>
      <c r="P12" s="6">
        <f t="shared" si="8"/>
        <v>1</v>
      </c>
      <c r="Q12" s="6">
        <f t="shared" si="9"/>
        <v>1</v>
      </c>
      <c r="R12" s="6">
        <f t="shared" si="10"/>
        <v>-1</v>
      </c>
    </row>
    <row r="13" spans="1:18" ht="20.25" customHeight="1" x14ac:dyDescent="0.2">
      <c r="A13" s="5" t="s">
        <v>15</v>
      </c>
      <c r="B13" s="5">
        <v>642</v>
      </c>
      <c r="C13" s="5">
        <v>1</v>
      </c>
      <c r="D13" s="5">
        <v>1</v>
      </c>
      <c r="E13" s="5">
        <v>-1</v>
      </c>
      <c r="F13" s="5">
        <v>1</v>
      </c>
      <c r="G13" s="5">
        <v>-1</v>
      </c>
      <c r="H13" s="6">
        <f t="shared" si="0"/>
        <v>-1</v>
      </c>
      <c r="I13" s="6">
        <f t="shared" si="1"/>
        <v>1</v>
      </c>
      <c r="J13" s="6">
        <f t="shared" si="2"/>
        <v>-1</v>
      </c>
      <c r="K13" s="38">
        <f t="shared" si="3"/>
        <v>-1</v>
      </c>
      <c r="L13" s="38">
        <f t="shared" si="4"/>
        <v>1</v>
      </c>
      <c r="M13" s="6">
        <f t="shared" si="5"/>
        <v>-1</v>
      </c>
      <c r="N13" s="6">
        <f t="shared" si="6"/>
        <v>-1</v>
      </c>
      <c r="O13" s="6">
        <f t="shared" si="7"/>
        <v>1</v>
      </c>
      <c r="P13" s="6">
        <f t="shared" si="8"/>
        <v>-1</v>
      </c>
      <c r="Q13" s="6">
        <f t="shared" si="9"/>
        <v>1</v>
      </c>
      <c r="R13" s="6">
        <f t="shared" si="10"/>
        <v>1</v>
      </c>
    </row>
    <row r="14" spans="1:18" ht="20.25" customHeight="1" x14ac:dyDescent="0.2">
      <c r="A14" s="5" t="s">
        <v>16</v>
      </c>
      <c r="B14" s="5">
        <v>601</v>
      </c>
      <c r="C14" s="5">
        <v>1</v>
      </c>
      <c r="D14" s="5">
        <v>-1</v>
      </c>
      <c r="E14" s="5">
        <v>1</v>
      </c>
      <c r="F14" s="5">
        <v>1</v>
      </c>
      <c r="G14" s="5">
        <v>-1</v>
      </c>
      <c r="H14" s="6">
        <f t="shared" si="0"/>
        <v>-1</v>
      </c>
      <c r="I14" s="6">
        <f t="shared" si="1"/>
        <v>-1</v>
      </c>
      <c r="J14" s="6">
        <f t="shared" si="2"/>
        <v>1</v>
      </c>
      <c r="K14" s="38">
        <f t="shared" si="3"/>
        <v>1</v>
      </c>
      <c r="L14" s="38">
        <f t="shared" si="4"/>
        <v>-1</v>
      </c>
      <c r="M14" s="6">
        <f t="shared" si="5"/>
        <v>-1</v>
      </c>
      <c r="N14" s="6">
        <f t="shared" si="6"/>
        <v>-1</v>
      </c>
      <c r="O14" s="6">
        <f t="shared" si="7"/>
        <v>1</v>
      </c>
      <c r="P14" s="6">
        <f t="shared" si="8"/>
        <v>1</v>
      </c>
      <c r="Q14" s="6">
        <f t="shared" si="9"/>
        <v>-1</v>
      </c>
      <c r="R14" s="6">
        <f t="shared" si="10"/>
        <v>1</v>
      </c>
    </row>
    <row r="15" spans="1:18" ht="20.25" customHeight="1" x14ac:dyDescent="0.2">
      <c r="A15" s="5" t="s">
        <v>17</v>
      </c>
      <c r="B15" s="5">
        <v>635</v>
      </c>
      <c r="C15" s="5">
        <v>1</v>
      </c>
      <c r="D15" s="5">
        <v>1</v>
      </c>
      <c r="E15" s="5">
        <v>1</v>
      </c>
      <c r="F15" s="5">
        <v>1</v>
      </c>
      <c r="G15" s="5">
        <v>-1</v>
      </c>
      <c r="H15" s="6">
        <f t="shared" si="0"/>
        <v>1</v>
      </c>
      <c r="I15" s="6">
        <f t="shared" si="1"/>
        <v>1</v>
      </c>
      <c r="J15" s="6">
        <f t="shared" si="2"/>
        <v>-1</v>
      </c>
      <c r="K15" s="38">
        <f t="shared" si="3"/>
        <v>1</v>
      </c>
      <c r="L15" s="38">
        <f t="shared" si="4"/>
        <v>-1</v>
      </c>
      <c r="M15" s="6">
        <f t="shared" si="5"/>
        <v>-1</v>
      </c>
      <c r="N15" s="6">
        <f t="shared" si="6"/>
        <v>1</v>
      </c>
      <c r="O15" s="6">
        <f t="shared" si="7"/>
        <v>-1</v>
      </c>
      <c r="P15" s="6">
        <f t="shared" si="8"/>
        <v>-1</v>
      </c>
      <c r="Q15" s="6">
        <f t="shared" si="9"/>
        <v>-1</v>
      </c>
      <c r="R15" s="6">
        <f t="shared" si="10"/>
        <v>-1</v>
      </c>
    </row>
    <row r="16" spans="1:18" ht="20.25" customHeight="1" x14ac:dyDescent="0.2">
      <c r="A16" s="4" t="s">
        <v>47</v>
      </c>
      <c r="B16" s="4">
        <v>1037</v>
      </c>
      <c r="C16" s="5">
        <v>1</v>
      </c>
      <c r="D16" s="5">
        <v>-1</v>
      </c>
      <c r="E16" s="5">
        <v>-1</v>
      </c>
      <c r="F16" s="5">
        <v>-1</v>
      </c>
      <c r="G16" s="5">
        <v>1</v>
      </c>
      <c r="H16" s="6">
        <f t="shared" si="0"/>
        <v>1</v>
      </c>
      <c r="I16" s="6">
        <f t="shared" si="1"/>
        <v>1</v>
      </c>
      <c r="J16" s="6">
        <f t="shared" si="2"/>
        <v>-1</v>
      </c>
      <c r="K16" s="38">
        <f t="shared" si="3"/>
        <v>1</v>
      </c>
      <c r="L16" s="38">
        <f t="shared" si="4"/>
        <v>-1</v>
      </c>
      <c r="M16" s="6">
        <f t="shared" si="5"/>
        <v>-1</v>
      </c>
      <c r="N16" s="6">
        <f t="shared" si="6"/>
        <v>-1</v>
      </c>
      <c r="O16" s="6">
        <f t="shared" si="7"/>
        <v>1</v>
      </c>
      <c r="P16" s="6">
        <f t="shared" si="8"/>
        <v>1</v>
      </c>
      <c r="Q16" s="6">
        <f t="shared" si="9"/>
        <v>1</v>
      </c>
      <c r="R16" s="6">
        <f t="shared" si="10"/>
        <v>-1</v>
      </c>
    </row>
    <row r="17" spans="1:19" ht="20.25" customHeight="1" x14ac:dyDescent="0.2">
      <c r="A17" s="5" t="s">
        <v>48</v>
      </c>
      <c r="B17" s="5">
        <v>749</v>
      </c>
      <c r="C17" s="5">
        <v>1</v>
      </c>
      <c r="D17" s="5">
        <v>1</v>
      </c>
      <c r="E17" s="5">
        <v>-1</v>
      </c>
      <c r="F17" s="5">
        <v>-1</v>
      </c>
      <c r="G17" s="5">
        <v>1</v>
      </c>
      <c r="H17" s="6">
        <f t="shared" si="0"/>
        <v>-1</v>
      </c>
      <c r="I17" s="6">
        <f t="shared" si="1"/>
        <v>-1</v>
      </c>
      <c r="J17" s="6">
        <f t="shared" si="2"/>
        <v>1</v>
      </c>
      <c r="K17" s="38">
        <f t="shared" si="3"/>
        <v>1</v>
      </c>
      <c r="L17" s="38">
        <f t="shared" si="4"/>
        <v>-1</v>
      </c>
      <c r="M17" s="6">
        <f t="shared" si="5"/>
        <v>-1</v>
      </c>
      <c r="N17" s="6">
        <f t="shared" si="6"/>
        <v>1</v>
      </c>
      <c r="O17" s="6">
        <f t="shared" si="7"/>
        <v>-1</v>
      </c>
      <c r="P17" s="6">
        <f t="shared" si="8"/>
        <v>-1</v>
      </c>
      <c r="Q17" s="6">
        <f t="shared" si="9"/>
        <v>1</v>
      </c>
      <c r="R17" s="6">
        <f t="shared" si="10"/>
        <v>1</v>
      </c>
    </row>
    <row r="18" spans="1:19" ht="20.25" customHeight="1" x14ac:dyDescent="0.2">
      <c r="A18" s="5" t="s">
        <v>49</v>
      </c>
      <c r="B18" s="5">
        <v>1052</v>
      </c>
      <c r="C18" s="5">
        <v>1</v>
      </c>
      <c r="D18" s="5">
        <v>-1</v>
      </c>
      <c r="E18" s="5">
        <v>1</v>
      </c>
      <c r="F18" s="5">
        <v>-1</v>
      </c>
      <c r="G18" s="5">
        <v>1</v>
      </c>
      <c r="H18" s="6">
        <f t="shared" si="0"/>
        <v>-1</v>
      </c>
      <c r="I18" s="6">
        <f t="shared" si="1"/>
        <v>1</v>
      </c>
      <c r="J18" s="6">
        <f t="shared" si="2"/>
        <v>-1</v>
      </c>
      <c r="K18" s="38">
        <f t="shared" si="3"/>
        <v>-1</v>
      </c>
      <c r="L18" s="38">
        <f t="shared" si="4"/>
        <v>1</v>
      </c>
      <c r="M18" s="6">
        <f t="shared" si="5"/>
        <v>-1</v>
      </c>
      <c r="N18" s="6">
        <f t="shared" si="6"/>
        <v>1</v>
      </c>
      <c r="O18" s="6">
        <f t="shared" si="7"/>
        <v>-1</v>
      </c>
      <c r="P18" s="6">
        <f t="shared" si="8"/>
        <v>1</v>
      </c>
      <c r="Q18" s="6">
        <f t="shared" si="9"/>
        <v>-1</v>
      </c>
      <c r="R18" s="6">
        <f t="shared" si="10"/>
        <v>1</v>
      </c>
    </row>
    <row r="19" spans="1:19" ht="20.25" customHeight="1" x14ac:dyDescent="0.2">
      <c r="A19" s="5" t="s">
        <v>50</v>
      </c>
      <c r="B19" s="5">
        <v>868</v>
      </c>
      <c r="C19" s="5">
        <v>1</v>
      </c>
      <c r="D19" s="5">
        <v>1</v>
      </c>
      <c r="E19" s="5">
        <v>1</v>
      </c>
      <c r="F19" s="5">
        <v>-1</v>
      </c>
      <c r="G19" s="5">
        <v>1</v>
      </c>
      <c r="H19" s="6">
        <f t="shared" si="0"/>
        <v>1</v>
      </c>
      <c r="I19" s="6">
        <f t="shared" si="1"/>
        <v>-1</v>
      </c>
      <c r="J19" s="6">
        <f t="shared" si="2"/>
        <v>1</v>
      </c>
      <c r="K19" s="38">
        <f t="shared" si="3"/>
        <v>-1</v>
      </c>
      <c r="L19" s="38">
        <f t="shared" si="4"/>
        <v>1</v>
      </c>
      <c r="M19" s="6">
        <f t="shared" si="5"/>
        <v>-1</v>
      </c>
      <c r="N19" s="6">
        <f t="shared" si="6"/>
        <v>-1</v>
      </c>
      <c r="O19" s="6">
        <f t="shared" si="7"/>
        <v>1</v>
      </c>
      <c r="P19" s="6">
        <f t="shared" si="8"/>
        <v>-1</v>
      </c>
      <c r="Q19" s="6">
        <f t="shared" si="9"/>
        <v>-1</v>
      </c>
      <c r="R19" s="6">
        <f t="shared" si="10"/>
        <v>-1</v>
      </c>
    </row>
    <row r="20" spans="1:19" ht="20.25" customHeight="1" x14ac:dyDescent="0.2">
      <c r="A20" s="5" t="s">
        <v>51</v>
      </c>
      <c r="B20" s="5">
        <v>1075</v>
      </c>
      <c r="C20" s="5">
        <v>1</v>
      </c>
      <c r="D20" s="5">
        <v>-1</v>
      </c>
      <c r="E20" s="5">
        <v>-1</v>
      </c>
      <c r="F20" s="5">
        <v>1</v>
      </c>
      <c r="G20" s="5">
        <v>1</v>
      </c>
      <c r="H20" s="6">
        <f t="shared" si="0"/>
        <v>1</v>
      </c>
      <c r="I20" s="6">
        <f t="shared" si="1"/>
        <v>-1</v>
      </c>
      <c r="J20" s="6">
        <f t="shared" si="2"/>
        <v>-1</v>
      </c>
      <c r="K20" s="38">
        <f t="shared" si="3"/>
        <v>-1</v>
      </c>
      <c r="L20" s="38">
        <f t="shared" si="4"/>
        <v>-1</v>
      </c>
      <c r="M20" s="6">
        <f t="shared" si="5"/>
        <v>1</v>
      </c>
      <c r="N20" s="6">
        <f t="shared" si="6"/>
        <v>1</v>
      </c>
      <c r="O20" s="6">
        <f t="shared" si="7"/>
        <v>1</v>
      </c>
      <c r="P20" s="6">
        <f t="shared" si="8"/>
        <v>-1</v>
      </c>
      <c r="Q20" s="6">
        <f t="shared" si="9"/>
        <v>-1</v>
      </c>
      <c r="R20" s="6">
        <f t="shared" si="10"/>
        <v>1</v>
      </c>
    </row>
    <row r="21" spans="1:19" ht="20.25" customHeight="1" x14ac:dyDescent="0.2">
      <c r="A21" s="5" t="s">
        <v>52</v>
      </c>
      <c r="B21" s="5">
        <v>860</v>
      </c>
      <c r="C21" s="5">
        <v>1</v>
      </c>
      <c r="D21" s="5">
        <v>1</v>
      </c>
      <c r="E21" s="5">
        <v>-1</v>
      </c>
      <c r="F21" s="5">
        <v>1</v>
      </c>
      <c r="G21" s="5">
        <v>1</v>
      </c>
      <c r="H21" s="6">
        <f t="shared" si="0"/>
        <v>-1</v>
      </c>
      <c r="I21" s="6">
        <f t="shared" si="1"/>
        <v>1</v>
      </c>
      <c r="J21" s="6">
        <f t="shared" si="2"/>
        <v>1</v>
      </c>
      <c r="K21" s="38">
        <f t="shared" si="3"/>
        <v>-1</v>
      </c>
      <c r="L21" s="38">
        <f t="shared" si="4"/>
        <v>-1</v>
      </c>
      <c r="M21" s="6">
        <f t="shared" si="5"/>
        <v>1</v>
      </c>
      <c r="N21" s="6">
        <f t="shared" si="6"/>
        <v>-1</v>
      </c>
      <c r="O21" s="6">
        <f t="shared" si="7"/>
        <v>-1</v>
      </c>
      <c r="P21" s="6">
        <f t="shared" si="8"/>
        <v>1</v>
      </c>
      <c r="Q21" s="6">
        <f t="shared" si="9"/>
        <v>-1</v>
      </c>
      <c r="R21" s="6">
        <f t="shared" si="10"/>
        <v>-1</v>
      </c>
    </row>
    <row r="22" spans="1:19" ht="20.25" customHeight="1" x14ac:dyDescent="0.2">
      <c r="A22" s="5" t="s">
        <v>53</v>
      </c>
      <c r="B22" s="5">
        <v>1063</v>
      </c>
      <c r="C22" s="5">
        <v>1</v>
      </c>
      <c r="D22" s="5">
        <v>-1</v>
      </c>
      <c r="E22" s="5">
        <v>1</v>
      </c>
      <c r="F22" s="5">
        <v>1</v>
      </c>
      <c r="G22" s="5">
        <v>1</v>
      </c>
      <c r="H22" s="6">
        <f t="shared" si="0"/>
        <v>-1</v>
      </c>
      <c r="I22" s="6">
        <f t="shared" si="1"/>
        <v>-1</v>
      </c>
      <c r="J22" s="6">
        <f t="shared" si="2"/>
        <v>-1</v>
      </c>
      <c r="K22" s="38">
        <f t="shared" si="3"/>
        <v>1</v>
      </c>
      <c r="L22" s="38">
        <f t="shared" si="4"/>
        <v>1</v>
      </c>
      <c r="M22" s="6">
        <f t="shared" si="5"/>
        <v>1</v>
      </c>
      <c r="N22" s="6">
        <f t="shared" si="6"/>
        <v>-1</v>
      </c>
      <c r="O22" s="6">
        <f t="shared" si="7"/>
        <v>-1</v>
      </c>
      <c r="P22" s="6">
        <f t="shared" si="8"/>
        <v>-1</v>
      </c>
      <c r="Q22" s="6">
        <f t="shared" si="9"/>
        <v>1</v>
      </c>
      <c r="R22" s="6">
        <f t="shared" si="10"/>
        <v>-1</v>
      </c>
    </row>
    <row r="23" spans="1:19" ht="20.25" customHeight="1" x14ac:dyDescent="0.2">
      <c r="A23" s="5" t="s">
        <v>54</v>
      </c>
      <c r="B23" s="5">
        <v>729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6">
        <f t="shared" si="0"/>
        <v>1</v>
      </c>
      <c r="I23" s="6">
        <f t="shared" si="1"/>
        <v>1</v>
      </c>
      <c r="J23" s="6">
        <f t="shared" si="2"/>
        <v>1</v>
      </c>
      <c r="K23" s="38">
        <f t="shared" si="3"/>
        <v>1</v>
      </c>
      <c r="L23" s="38">
        <f t="shared" si="4"/>
        <v>1</v>
      </c>
      <c r="M23" s="6">
        <f t="shared" si="5"/>
        <v>1</v>
      </c>
      <c r="N23" s="6">
        <f t="shared" si="6"/>
        <v>1</v>
      </c>
      <c r="O23" s="6">
        <f t="shared" si="7"/>
        <v>1</v>
      </c>
      <c r="P23" s="6">
        <f t="shared" si="8"/>
        <v>1</v>
      </c>
      <c r="Q23" s="6">
        <f t="shared" si="9"/>
        <v>1</v>
      </c>
      <c r="R23" s="6">
        <f t="shared" si="10"/>
        <v>1</v>
      </c>
    </row>
    <row r="24" spans="1:19" ht="20.25" customHeight="1" x14ac:dyDescent="0.2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20.25" customHeight="1" x14ac:dyDescent="0.2">
      <c r="A25" s="65" t="s">
        <v>22</v>
      </c>
      <c r="B25" s="65"/>
      <c r="C25" s="65"/>
      <c r="D25" s="3" t="s">
        <v>3</v>
      </c>
      <c r="E25" s="3" t="s">
        <v>4</v>
      </c>
      <c r="F25" s="3" t="s">
        <v>5</v>
      </c>
      <c r="G25" s="3" t="s">
        <v>46</v>
      </c>
      <c r="H25" s="3" t="s">
        <v>6</v>
      </c>
      <c r="I25" s="3" t="s">
        <v>7</v>
      </c>
      <c r="J25" s="3" t="s">
        <v>55</v>
      </c>
      <c r="K25" s="3" t="s">
        <v>8</v>
      </c>
      <c r="L25" s="3" t="s">
        <v>56</v>
      </c>
      <c r="M25" s="3" t="s">
        <v>57</v>
      </c>
      <c r="N25" s="3" t="s">
        <v>9</v>
      </c>
      <c r="O25" s="3" t="s">
        <v>58</v>
      </c>
      <c r="P25" s="3" t="s">
        <v>59</v>
      </c>
      <c r="Q25" s="3" t="s">
        <v>60</v>
      </c>
      <c r="R25" s="3" t="s">
        <v>61</v>
      </c>
      <c r="S25" s="33"/>
    </row>
    <row r="26" spans="1:19" ht="20.25" customHeight="1" x14ac:dyDescent="0.2">
      <c r="A26" s="65"/>
      <c r="B26" s="65"/>
      <c r="C26" s="65"/>
      <c r="D26" s="5">
        <f>$B8*D8</f>
        <v>-550</v>
      </c>
      <c r="E26" s="5">
        <f t="shared" ref="E26:R26" si="11">$B8*E8</f>
        <v>-550</v>
      </c>
      <c r="F26" s="5">
        <f t="shared" si="11"/>
        <v>-550</v>
      </c>
      <c r="G26" s="5">
        <f t="shared" si="11"/>
        <v>-550</v>
      </c>
      <c r="H26" s="5">
        <f t="shared" si="11"/>
        <v>550</v>
      </c>
      <c r="I26" s="5">
        <f t="shared" si="11"/>
        <v>550</v>
      </c>
      <c r="J26" s="5">
        <f t="shared" si="11"/>
        <v>550</v>
      </c>
      <c r="K26" s="5">
        <f t="shared" si="11"/>
        <v>550</v>
      </c>
      <c r="L26" s="5">
        <f t="shared" si="11"/>
        <v>550</v>
      </c>
      <c r="M26" s="5">
        <f t="shared" si="11"/>
        <v>550</v>
      </c>
      <c r="N26" s="5">
        <f t="shared" si="11"/>
        <v>-550</v>
      </c>
      <c r="O26" s="5">
        <f t="shared" si="11"/>
        <v>-550</v>
      </c>
      <c r="P26" s="5">
        <f t="shared" si="11"/>
        <v>-550</v>
      </c>
      <c r="Q26" s="5">
        <f t="shared" si="11"/>
        <v>-550</v>
      </c>
      <c r="R26" s="5">
        <f t="shared" si="11"/>
        <v>550</v>
      </c>
      <c r="S26" s="33" t="s">
        <v>86</v>
      </c>
    </row>
    <row r="27" spans="1:19" ht="20.25" customHeight="1" x14ac:dyDescent="0.2">
      <c r="A27" s="65"/>
      <c r="B27" s="65"/>
      <c r="C27" s="65"/>
      <c r="D27" s="5">
        <f t="shared" ref="D27:R27" si="12">$B9*D9</f>
        <v>669</v>
      </c>
      <c r="E27" s="5">
        <f t="shared" si="12"/>
        <v>-669</v>
      </c>
      <c r="F27" s="5">
        <f t="shared" si="12"/>
        <v>-669</v>
      </c>
      <c r="G27" s="5">
        <f t="shared" si="12"/>
        <v>-669</v>
      </c>
      <c r="H27" s="5">
        <f t="shared" si="12"/>
        <v>-669</v>
      </c>
      <c r="I27" s="5">
        <f t="shared" si="12"/>
        <v>-669</v>
      </c>
      <c r="J27" s="5">
        <f t="shared" si="12"/>
        <v>-669</v>
      </c>
      <c r="K27" s="5">
        <f t="shared" si="12"/>
        <v>669</v>
      </c>
      <c r="L27" s="5">
        <f t="shared" si="12"/>
        <v>669</v>
      </c>
      <c r="M27" s="5">
        <f t="shared" si="12"/>
        <v>669</v>
      </c>
      <c r="N27" s="5">
        <f t="shared" si="12"/>
        <v>669</v>
      </c>
      <c r="O27" s="5">
        <f t="shared" si="12"/>
        <v>669</v>
      </c>
      <c r="P27" s="5">
        <f t="shared" si="12"/>
        <v>669</v>
      </c>
      <c r="Q27" s="5">
        <f t="shared" si="12"/>
        <v>-669</v>
      </c>
      <c r="R27" s="5">
        <f t="shared" si="12"/>
        <v>-669</v>
      </c>
      <c r="S27" s="33"/>
    </row>
    <row r="28" spans="1:19" ht="20.25" customHeight="1" x14ac:dyDescent="0.2">
      <c r="A28" s="65"/>
      <c r="B28" s="65"/>
      <c r="C28" s="65"/>
      <c r="D28" s="5">
        <f t="shared" ref="D28:R28" si="13">$B10*D10</f>
        <v>-604</v>
      </c>
      <c r="E28" s="5">
        <f t="shared" si="13"/>
        <v>604</v>
      </c>
      <c r="F28" s="5">
        <f t="shared" si="13"/>
        <v>-604</v>
      </c>
      <c r="G28" s="5">
        <f t="shared" si="13"/>
        <v>-604</v>
      </c>
      <c r="H28" s="5">
        <f t="shared" si="13"/>
        <v>-604</v>
      </c>
      <c r="I28" s="5">
        <f t="shared" si="13"/>
        <v>604</v>
      </c>
      <c r="J28" s="5">
        <f t="shared" si="13"/>
        <v>604</v>
      </c>
      <c r="K28" s="5">
        <f t="shared" si="13"/>
        <v>-604</v>
      </c>
      <c r="L28" s="5">
        <f t="shared" si="13"/>
        <v>-604</v>
      </c>
      <c r="M28" s="5">
        <f t="shared" si="13"/>
        <v>604</v>
      </c>
      <c r="N28" s="5">
        <f t="shared" si="13"/>
        <v>604</v>
      </c>
      <c r="O28" s="5">
        <f t="shared" si="13"/>
        <v>604</v>
      </c>
      <c r="P28" s="5">
        <f t="shared" si="13"/>
        <v>-604</v>
      </c>
      <c r="Q28" s="5">
        <f t="shared" si="13"/>
        <v>604</v>
      </c>
      <c r="R28" s="5">
        <f t="shared" si="13"/>
        <v>-604</v>
      </c>
      <c r="S28" s="33"/>
    </row>
    <row r="29" spans="1:19" ht="20.25" customHeight="1" x14ac:dyDescent="0.2">
      <c r="A29" s="65"/>
      <c r="B29" s="65"/>
      <c r="C29" s="65"/>
      <c r="D29" s="5">
        <f t="shared" ref="D29:R29" si="14">$B11*D11</f>
        <v>650</v>
      </c>
      <c r="E29" s="5">
        <f t="shared" si="14"/>
        <v>650</v>
      </c>
      <c r="F29" s="5">
        <f t="shared" si="14"/>
        <v>-650</v>
      </c>
      <c r="G29" s="5">
        <f t="shared" si="14"/>
        <v>-650</v>
      </c>
      <c r="H29" s="5">
        <f t="shared" si="14"/>
        <v>650</v>
      </c>
      <c r="I29" s="5">
        <f t="shared" si="14"/>
        <v>-650</v>
      </c>
      <c r="J29" s="5">
        <f t="shared" si="14"/>
        <v>-650</v>
      </c>
      <c r="K29" s="5">
        <f t="shared" si="14"/>
        <v>-650</v>
      </c>
      <c r="L29" s="5">
        <f t="shared" si="14"/>
        <v>-650</v>
      </c>
      <c r="M29" s="5">
        <f t="shared" si="14"/>
        <v>650</v>
      </c>
      <c r="N29" s="5">
        <f t="shared" si="14"/>
        <v>-650</v>
      </c>
      <c r="O29" s="5">
        <f t="shared" si="14"/>
        <v>-650</v>
      </c>
      <c r="P29" s="5">
        <f t="shared" si="14"/>
        <v>650</v>
      </c>
      <c r="Q29" s="5">
        <f t="shared" si="14"/>
        <v>650</v>
      </c>
      <c r="R29" s="5">
        <f t="shared" si="14"/>
        <v>650</v>
      </c>
    </row>
    <row r="30" spans="1:19" ht="20.25" customHeight="1" x14ac:dyDescent="0.2">
      <c r="A30" s="65"/>
      <c r="B30" s="65"/>
      <c r="C30" s="65"/>
      <c r="D30" s="5">
        <f t="shared" ref="D30:R30" si="15">$B12*D12</f>
        <v>-633</v>
      </c>
      <c r="E30" s="5">
        <f t="shared" si="15"/>
        <v>-633</v>
      </c>
      <c r="F30" s="5">
        <f t="shared" si="15"/>
        <v>633</v>
      </c>
      <c r="G30" s="5">
        <f t="shared" si="15"/>
        <v>-633</v>
      </c>
      <c r="H30" s="5">
        <f t="shared" si="15"/>
        <v>633</v>
      </c>
      <c r="I30" s="5">
        <f t="shared" si="15"/>
        <v>-633</v>
      </c>
      <c r="J30" s="5">
        <f t="shared" si="15"/>
        <v>633</v>
      </c>
      <c r="K30" s="5">
        <f t="shared" si="15"/>
        <v>-633</v>
      </c>
      <c r="L30" s="5">
        <f t="shared" si="15"/>
        <v>633</v>
      </c>
      <c r="M30" s="5">
        <f t="shared" si="15"/>
        <v>-633</v>
      </c>
      <c r="N30" s="5">
        <f t="shared" si="15"/>
        <v>633</v>
      </c>
      <c r="O30" s="5">
        <f t="shared" si="15"/>
        <v>-633</v>
      </c>
      <c r="P30" s="5">
        <f t="shared" si="15"/>
        <v>633</v>
      </c>
      <c r="Q30" s="5">
        <f t="shared" si="15"/>
        <v>633</v>
      </c>
      <c r="R30" s="5">
        <f t="shared" si="15"/>
        <v>-633</v>
      </c>
    </row>
    <row r="31" spans="1:19" ht="20.25" customHeight="1" x14ac:dyDescent="0.2">
      <c r="A31" s="65"/>
      <c r="B31" s="65"/>
      <c r="C31" s="65"/>
      <c r="D31" s="5">
        <f t="shared" ref="D31:R31" si="16">$B13*D13</f>
        <v>642</v>
      </c>
      <c r="E31" s="5">
        <f t="shared" si="16"/>
        <v>-642</v>
      </c>
      <c r="F31" s="5">
        <f t="shared" si="16"/>
        <v>642</v>
      </c>
      <c r="G31" s="5">
        <f t="shared" si="16"/>
        <v>-642</v>
      </c>
      <c r="H31" s="5">
        <f t="shared" si="16"/>
        <v>-642</v>
      </c>
      <c r="I31" s="5">
        <f t="shared" si="16"/>
        <v>642</v>
      </c>
      <c r="J31" s="5">
        <f t="shared" si="16"/>
        <v>-642</v>
      </c>
      <c r="K31" s="5">
        <f t="shared" si="16"/>
        <v>-642</v>
      </c>
      <c r="L31" s="5">
        <f t="shared" si="16"/>
        <v>642</v>
      </c>
      <c r="M31" s="5">
        <f t="shared" si="16"/>
        <v>-642</v>
      </c>
      <c r="N31" s="5">
        <f t="shared" si="16"/>
        <v>-642</v>
      </c>
      <c r="O31" s="5">
        <f t="shared" si="16"/>
        <v>642</v>
      </c>
      <c r="P31" s="5">
        <f t="shared" si="16"/>
        <v>-642</v>
      </c>
      <c r="Q31" s="5">
        <f t="shared" si="16"/>
        <v>642</v>
      </c>
      <c r="R31" s="5">
        <f t="shared" si="16"/>
        <v>642</v>
      </c>
    </row>
    <row r="32" spans="1:19" ht="20.25" customHeight="1" x14ac:dyDescent="0.2">
      <c r="A32" s="65"/>
      <c r="B32" s="65"/>
      <c r="C32" s="65"/>
      <c r="D32" s="5">
        <f t="shared" ref="D32:R32" si="17">$B14*D14</f>
        <v>-601</v>
      </c>
      <c r="E32" s="5">
        <f t="shared" si="17"/>
        <v>601</v>
      </c>
      <c r="F32" s="5">
        <f t="shared" si="17"/>
        <v>601</v>
      </c>
      <c r="G32" s="5">
        <f t="shared" si="17"/>
        <v>-601</v>
      </c>
      <c r="H32" s="5">
        <f t="shared" si="17"/>
        <v>-601</v>
      </c>
      <c r="I32" s="5">
        <f t="shared" si="17"/>
        <v>-601</v>
      </c>
      <c r="J32" s="5">
        <f t="shared" si="17"/>
        <v>601</v>
      </c>
      <c r="K32" s="5">
        <f t="shared" si="17"/>
        <v>601</v>
      </c>
      <c r="L32" s="5">
        <f t="shared" si="17"/>
        <v>-601</v>
      </c>
      <c r="M32" s="5">
        <f t="shared" si="17"/>
        <v>-601</v>
      </c>
      <c r="N32" s="5">
        <f t="shared" si="17"/>
        <v>-601</v>
      </c>
      <c r="O32" s="5">
        <f t="shared" si="17"/>
        <v>601</v>
      </c>
      <c r="P32" s="5">
        <f t="shared" si="17"/>
        <v>601</v>
      </c>
      <c r="Q32" s="5">
        <f t="shared" si="17"/>
        <v>-601</v>
      </c>
      <c r="R32" s="5">
        <f t="shared" si="17"/>
        <v>601</v>
      </c>
    </row>
    <row r="33" spans="1:19" ht="20.25" customHeight="1" x14ac:dyDescent="0.2">
      <c r="A33" s="65"/>
      <c r="B33" s="65"/>
      <c r="C33" s="65"/>
      <c r="D33" s="5">
        <f t="shared" ref="D33:R33" si="18">$B15*D15</f>
        <v>635</v>
      </c>
      <c r="E33" s="5">
        <f t="shared" si="18"/>
        <v>635</v>
      </c>
      <c r="F33" s="5">
        <f t="shared" si="18"/>
        <v>635</v>
      </c>
      <c r="G33" s="5">
        <f t="shared" si="18"/>
        <v>-635</v>
      </c>
      <c r="H33" s="5">
        <f t="shared" si="18"/>
        <v>635</v>
      </c>
      <c r="I33" s="5">
        <f t="shared" si="18"/>
        <v>635</v>
      </c>
      <c r="J33" s="5">
        <f t="shared" si="18"/>
        <v>-635</v>
      </c>
      <c r="K33" s="5">
        <f t="shared" si="18"/>
        <v>635</v>
      </c>
      <c r="L33" s="5">
        <f t="shared" si="18"/>
        <v>-635</v>
      </c>
      <c r="M33" s="5">
        <f t="shared" si="18"/>
        <v>-635</v>
      </c>
      <c r="N33" s="5">
        <f t="shared" si="18"/>
        <v>635</v>
      </c>
      <c r="O33" s="5">
        <f t="shared" si="18"/>
        <v>-635</v>
      </c>
      <c r="P33" s="5">
        <f t="shared" si="18"/>
        <v>-635</v>
      </c>
      <c r="Q33" s="5">
        <f t="shared" si="18"/>
        <v>-635</v>
      </c>
      <c r="R33" s="5">
        <f t="shared" si="18"/>
        <v>-635</v>
      </c>
    </row>
    <row r="34" spans="1:19" ht="20.25" customHeight="1" x14ac:dyDescent="0.2">
      <c r="A34" s="65"/>
      <c r="B34" s="65"/>
      <c r="C34" s="65"/>
      <c r="D34" s="5">
        <f t="shared" ref="D34:R34" si="19">$B16*D16</f>
        <v>-1037</v>
      </c>
      <c r="E34" s="5">
        <f t="shared" si="19"/>
        <v>-1037</v>
      </c>
      <c r="F34" s="5">
        <f t="shared" si="19"/>
        <v>-1037</v>
      </c>
      <c r="G34" s="5">
        <f t="shared" si="19"/>
        <v>1037</v>
      </c>
      <c r="H34" s="5">
        <f t="shared" si="19"/>
        <v>1037</v>
      </c>
      <c r="I34" s="5">
        <f t="shared" si="19"/>
        <v>1037</v>
      </c>
      <c r="J34" s="5">
        <f t="shared" si="19"/>
        <v>-1037</v>
      </c>
      <c r="K34" s="5">
        <f t="shared" si="19"/>
        <v>1037</v>
      </c>
      <c r="L34" s="5">
        <f t="shared" si="19"/>
        <v>-1037</v>
      </c>
      <c r="M34" s="5">
        <f t="shared" si="19"/>
        <v>-1037</v>
      </c>
      <c r="N34" s="5">
        <f t="shared" si="19"/>
        <v>-1037</v>
      </c>
      <c r="O34" s="5">
        <f t="shared" si="19"/>
        <v>1037</v>
      </c>
      <c r="P34" s="5">
        <f t="shared" si="19"/>
        <v>1037</v>
      </c>
      <c r="Q34" s="5">
        <f t="shared" si="19"/>
        <v>1037</v>
      </c>
      <c r="R34" s="5">
        <f t="shared" si="19"/>
        <v>-1037</v>
      </c>
    </row>
    <row r="35" spans="1:19" ht="20.25" customHeight="1" x14ac:dyDescent="0.2">
      <c r="A35" s="65"/>
      <c r="B35" s="65"/>
      <c r="C35" s="65"/>
      <c r="D35" s="5">
        <f t="shared" ref="D35:R35" si="20">$B17*D17</f>
        <v>749</v>
      </c>
      <c r="E35" s="5">
        <f t="shared" si="20"/>
        <v>-749</v>
      </c>
      <c r="F35" s="5">
        <f t="shared" si="20"/>
        <v>-749</v>
      </c>
      <c r="G35" s="5">
        <f t="shared" si="20"/>
        <v>749</v>
      </c>
      <c r="H35" s="5">
        <f t="shared" si="20"/>
        <v>-749</v>
      </c>
      <c r="I35" s="5">
        <f t="shared" si="20"/>
        <v>-749</v>
      </c>
      <c r="J35" s="5">
        <f t="shared" si="20"/>
        <v>749</v>
      </c>
      <c r="K35" s="5">
        <f t="shared" si="20"/>
        <v>749</v>
      </c>
      <c r="L35" s="5">
        <f t="shared" si="20"/>
        <v>-749</v>
      </c>
      <c r="M35" s="5">
        <f t="shared" si="20"/>
        <v>-749</v>
      </c>
      <c r="N35" s="5">
        <f t="shared" si="20"/>
        <v>749</v>
      </c>
      <c r="O35" s="5">
        <f t="shared" si="20"/>
        <v>-749</v>
      </c>
      <c r="P35" s="5">
        <f t="shared" si="20"/>
        <v>-749</v>
      </c>
      <c r="Q35" s="5">
        <f t="shared" si="20"/>
        <v>749</v>
      </c>
      <c r="R35" s="5">
        <f t="shared" si="20"/>
        <v>749</v>
      </c>
    </row>
    <row r="36" spans="1:19" ht="20.25" customHeight="1" x14ac:dyDescent="0.2">
      <c r="A36" s="65"/>
      <c r="B36" s="65"/>
      <c r="C36" s="65"/>
      <c r="D36" s="5">
        <f t="shared" ref="D36:R36" si="21">$B18*D18</f>
        <v>-1052</v>
      </c>
      <c r="E36" s="5">
        <f t="shared" si="21"/>
        <v>1052</v>
      </c>
      <c r="F36" s="5">
        <f t="shared" si="21"/>
        <v>-1052</v>
      </c>
      <c r="G36" s="5">
        <f t="shared" si="21"/>
        <v>1052</v>
      </c>
      <c r="H36" s="5">
        <f t="shared" si="21"/>
        <v>-1052</v>
      </c>
      <c r="I36" s="5">
        <f t="shared" si="21"/>
        <v>1052</v>
      </c>
      <c r="J36" s="5">
        <f t="shared" si="21"/>
        <v>-1052</v>
      </c>
      <c r="K36" s="5">
        <f t="shared" si="21"/>
        <v>-1052</v>
      </c>
      <c r="L36" s="5">
        <f t="shared" si="21"/>
        <v>1052</v>
      </c>
      <c r="M36" s="5">
        <f t="shared" si="21"/>
        <v>-1052</v>
      </c>
      <c r="N36" s="5">
        <f t="shared" si="21"/>
        <v>1052</v>
      </c>
      <c r="O36" s="5">
        <f t="shared" si="21"/>
        <v>-1052</v>
      </c>
      <c r="P36" s="5">
        <f t="shared" si="21"/>
        <v>1052</v>
      </c>
      <c r="Q36" s="5">
        <f t="shared" si="21"/>
        <v>-1052</v>
      </c>
      <c r="R36" s="5">
        <f t="shared" si="21"/>
        <v>1052</v>
      </c>
    </row>
    <row r="37" spans="1:19" ht="20.25" customHeight="1" x14ac:dyDescent="0.2">
      <c r="A37" s="65"/>
      <c r="B37" s="65"/>
      <c r="C37" s="65"/>
      <c r="D37" s="5">
        <f t="shared" ref="D37:R37" si="22">$B19*D19</f>
        <v>868</v>
      </c>
      <c r="E37" s="5">
        <f t="shared" si="22"/>
        <v>868</v>
      </c>
      <c r="F37" s="5">
        <f t="shared" si="22"/>
        <v>-868</v>
      </c>
      <c r="G37" s="5">
        <f t="shared" si="22"/>
        <v>868</v>
      </c>
      <c r="H37" s="5">
        <f t="shared" si="22"/>
        <v>868</v>
      </c>
      <c r="I37" s="5">
        <f t="shared" si="22"/>
        <v>-868</v>
      </c>
      <c r="J37" s="5">
        <f t="shared" si="22"/>
        <v>868</v>
      </c>
      <c r="K37" s="5">
        <f t="shared" si="22"/>
        <v>-868</v>
      </c>
      <c r="L37" s="5">
        <f t="shared" si="22"/>
        <v>868</v>
      </c>
      <c r="M37" s="5">
        <f t="shared" si="22"/>
        <v>-868</v>
      </c>
      <c r="N37" s="5">
        <f t="shared" si="22"/>
        <v>-868</v>
      </c>
      <c r="O37" s="5">
        <f t="shared" si="22"/>
        <v>868</v>
      </c>
      <c r="P37" s="5">
        <f t="shared" si="22"/>
        <v>-868</v>
      </c>
      <c r="Q37" s="5">
        <f t="shared" si="22"/>
        <v>-868</v>
      </c>
      <c r="R37" s="5">
        <f t="shared" si="22"/>
        <v>-868</v>
      </c>
    </row>
    <row r="38" spans="1:19" ht="20.25" customHeight="1" x14ac:dyDescent="0.2">
      <c r="A38" s="65"/>
      <c r="B38" s="65"/>
      <c r="C38" s="65"/>
      <c r="D38" s="5">
        <f t="shared" ref="D38:R38" si="23">$B20*D20</f>
        <v>-1075</v>
      </c>
      <c r="E38" s="5">
        <f t="shared" si="23"/>
        <v>-1075</v>
      </c>
      <c r="F38" s="5">
        <f t="shared" si="23"/>
        <v>1075</v>
      </c>
      <c r="G38" s="5">
        <f t="shared" si="23"/>
        <v>1075</v>
      </c>
      <c r="H38" s="5">
        <f t="shared" si="23"/>
        <v>1075</v>
      </c>
      <c r="I38" s="5">
        <f t="shared" si="23"/>
        <v>-1075</v>
      </c>
      <c r="J38" s="5">
        <f t="shared" si="23"/>
        <v>-1075</v>
      </c>
      <c r="K38" s="5">
        <f t="shared" si="23"/>
        <v>-1075</v>
      </c>
      <c r="L38" s="5">
        <f t="shared" si="23"/>
        <v>-1075</v>
      </c>
      <c r="M38" s="5">
        <f t="shared" si="23"/>
        <v>1075</v>
      </c>
      <c r="N38" s="5">
        <f t="shared" si="23"/>
        <v>1075</v>
      </c>
      <c r="O38" s="5">
        <f t="shared" si="23"/>
        <v>1075</v>
      </c>
      <c r="P38" s="5">
        <f t="shared" si="23"/>
        <v>-1075</v>
      </c>
      <c r="Q38" s="5">
        <f t="shared" si="23"/>
        <v>-1075</v>
      </c>
      <c r="R38" s="5">
        <f t="shared" si="23"/>
        <v>1075</v>
      </c>
    </row>
    <row r="39" spans="1:19" ht="20.25" customHeight="1" x14ac:dyDescent="0.2">
      <c r="A39" s="65"/>
      <c r="B39" s="65"/>
      <c r="C39" s="65"/>
      <c r="D39" s="5">
        <f t="shared" ref="D39:R39" si="24">$B21*D21</f>
        <v>860</v>
      </c>
      <c r="E39" s="5">
        <f t="shared" si="24"/>
        <v>-860</v>
      </c>
      <c r="F39" s="5">
        <f t="shared" si="24"/>
        <v>860</v>
      </c>
      <c r="G39" s="5">
        <f t="shared" si="24"/>
        <v>860</v>
      </c>
      <c r="H39" s="5">
        <f t="shared" si="24"/>
        <v>-860</v>
      </c>
      <c r="I39" s="5">
        <f t="shared" si="24"/>
        <v>860</v>
      </c>
      <c r="J39" s="5">
        <f t="shared" si="24"/>
        <v>860</v>
      </c>
      <c r="K39" s="5">
        <f t="shared" si="24"/>
        <v>-860</v>
      </c>
      <c r="L39" s="5">
        <f t="shared" si="24"/>
        <v>-860</v>
      </c>
      <c r="M39" s="5">
        <f t="shared" si="24"/>
        <v>860</v>
      </c>
      <c r="N39" s="5">
        <f t="shared" si="24"/>
        <v>-860</v>
      </c>
      <c r="O39" s="5">
        <f t="shared" si="24"/>
        <v>-860</v>
      </c>
      <c r="P39" s="5">
        <f t="shared" si="24"/>
        <v>860</v>
      </c>
      <c r="Q39" s="5">
        <f t="shared" si="24"/>
        <v>-860</v>
      </c>
      <c r="R39" s="5">
        <f t="shared" si="24"/>
        <v>-860</v>
      </c>
    </row>
    <row r="40" spans="1:19" ht="20.25" customHeight="1" x14ac:dyDescent="0.2">
      <c r="A40" s="65"/>
      <c r="B40" s="65"/>
      <c r="C40" s="65"/>
      <c r="D40" s="5">
        <f t="shared" ref="D40:R40" si="25">$B22*D22</f>
        <v>-1063</v>
      </c>
      <c r="E40" s="5">
        <f t="shared" si="25"/>
        <v>1063</v>
      </c>
      <c r="F40" s="5">
        <f t="shared" si="25"/>
        <v>1063</v>
      </c>
      <c r="G40" s="5">
        <f t="shared" si="25"/>
        <v>1063</v>
      </c>
      <c r="H40" s="5">
        <f t="shared" si="25"/>
        <v>-1063</v>
      </c>
      <c r="I40" s="5">
        <f t="shared" si="25"/>
        <v>-1063</v>
      </c>
      <c r="J40" s="5">
        <f t="shared" si="25"/>
        <v>-1063</v>
      </c>
      <c r="K40" s="5">
        <f t="shared" si="25"/>
        <v>1063</v>
      </c>
      <c r="L40" s="5">
        <f t="shared" si="25"/>
        <v>1063</v>
      </c>
      <c r="M40" s="5">
        <f t="shared" si="25"/>
        <v>1063</v>
      </c>
      <c r="N40" s="5">
        <f t="shared" si="25"/>
        <v>-1063</v>
      </c>
      <c r="O40" s="5">
        <f t="shared" si="25"/>
        <v>-1063</v>
      </c>
      <c r="P40" s="5">
        <f t="shared" si="25"/>
        <v>-1063</v>
      </c>
      <c r="Q40" s="5">
        <f t="shared" si="25"/>
        <v>1063</v>
      </c>
      <c r="R40" s="5">
        <f t="shared" si="25"/>
        <v>-1063</v>
      </c>
    </row>
    <row r="41" spans="1:19" ht="20.25" customHeight="1" x14ac:dyDescent="0.2">
      <c r="A41" s="65"/>
      <c r="B41" s="65"/>
      <c r="C41" s="65"/>
      <c r="D41" s="5">
        <f t="shared" ref="D41:R41" si="26">$B23*D23</f>
        <v>729</v>
      </c>
      <c r="E41" s="5">
        <f t="shared" si="26"/>
        <v>729</v>
      </c>
      <c r="F41" s="5">
        <f t="shared" si="26"/>
        <v>729</v>
      </c>
      <c r="G41" s="5">
        <f t="shared" si="26"/>
        <v>729</v>
      </c>
      <c r="H41" s="5">
        <f t="shared" si="26"/>
        <v>729</v>
      </c>
      <c r="I41" s="5">
        <f t="shared" si="26"/>
        <v>729</v>
      </c>
      <c r="J41" s="5">
        <f t="shared" si="26"/>
        <v>729</v>
      </c>
      <c r="K41" s="5">
        <f t="shared" si="26"/>
        <v>729</v>
      </c>
      <c r="L41" s="5">
        <f t="shared" si="26"/>
        <v>729</v>
      </c>
      <c r="M41" s="5">
        <f t="shared" si="26"/>
        <v>729</v>
      </c>
      <c r="N41" s="5">
        <f t="shared" si="26"/>
        <v>729</v>
      </c>
      <c r="O41" s="5">
        <f t="shared" si="26"/>
        <v>729</v>
      </c>
      <c r="P41" s="5">
        <f t="shared" si="26"/>
        <v>729</v>
      </c>
      <c r="Q41" s="5">
        <f t="shared" si="26"/>
        <v>729</v>
      </c>
      <c r="R41" s="5">
        <f t="shared" si="26"/>
        <v>729</v>
      </c>
    </row>
    <row r="42" spans="1:19" ht="20.25" customHeight="1" x14ac:dyDescent="0.2">
      <c r="A42" s="65"/>
      <c r="B42" s="65"/>
      <c r="C42" s="65"/>
      <c r="D42" s="34">
        <f>SUM(D26:D41)</f>
        <v>-813</v>
      </c>
      <c r="E42" s="34">
        <f t="shared" ref="E42:R42" si="27">SUM(E26:E41)</f>
        <v>-13</v>
      </c>
      <c r="F42" s="34">
        <f t="shared" si="27"/>
        <v>59</v>
      </c>
      <c r="G42" s="34">
        <f t="shared" si="27"/>
        <v>2449</v>
      </c>
      <c r="H42" s="34">
        <f t="shared" si="27"/>
        <v>-63</v>
      </c>
      <c r="I42" s="34">
        <f t="shared" si="27"/>
        <v>-199</v>
      </c>
      <c r="J42" s="34">
        <f t="shared" si="27"/>
        <v>-1229</v>
      </c>
      <c r="K42" s="34">
        <f t="shared" si="27"/>
        <v>-351</v>
      </c>
      <c r="L42" s="34">
        <f t="shared" si="27"/>
        <v>-5</v>
      </c>
      <c r="M42" s="34">
        <f t="shared" si="27"/>
        <v>-17</v>
      </c>
      <c r="N42" s="34">
        <f t="shared" si="27"/>
        <v>-125</v>
      </c>
      <c r="O42" s="34">
        <f t="shared" si="27"/>
        <v>33</v>
      </c>
      <c r="P42" s="34">
        <f t="shared" si="27"/>
        <v>45</v>
      </c>
      <c r="Q42" s="34">
        <f t="shared" si="27"/>
        <v>-203</v>
      </c>
      <c r="R42" s="34">
        <f t="shared" si="27"/>
        <v>-321</v>
      </c>
      <c r="S42" t="s">
        <v>84</v>
      </c>
    </row>
    <row r="43" spans="1:19" ht="20.25" customHeight="1" x14ac:dyDescent="0.2">
      <c r="A43" s="66" t="s">
        <v>23</v>
      </c>
      <c r="B43" s="66"/>
      <c r="C43" s="66"/>
      <c r="D43" s="39">
        <f>D42/(1*2^(4-1))</f>
        <v>-101.625</v>
      </c>
      <c r="E43" s="34">
        <f t="shared" ref="E43:R43" si="28">E42/(1*2^(4-1))</f>
        <v>-1.625</v>
      </c>
      <c r="F43" s="34">
        <f t="shared" si="28"/>
        <v>7.375</v>
      </c>
      <c r="G43" s="39">
        <f t="shared" si="28"/>
        <v>306.125</v>
      </c>
      <c r="H43" s="34">
        <f t="shared" si="28"/>
        <v>-7.875</v>
      </c>
      <c r="I43" s="34">
        <f t="shared" si="28"/>
        <v>-24.875</v>
      </c>
      <c r="J43" s="39">
        <f t="shared" si="28"/>
        <v>-153.625</v>
      </c>
      <c r="K43" s="34">
        <f t="shared" si="28"/>
        <v>-43.875</v>
      </c>
      <c r="L43" s="34">
        <f t="shared" si="28"/>
        <v>-0.625</v>
      </c>
      <c r="M43" s="34">
        <f t="shared" si="28"/>
        <v>-2.125</v>
      </c>
      <c r="N43" s="34">
        <f t="shared" si="28"/>
        <v>-15.625</v>
      </c>
      <c r="O43" s="34">
        <f t="shared" si="28"/>
        <v>4.125</v>
      </c>
      <c r="P43" s="34">
        <f t="shared" si="28"/>
        <v>5.625</v>
      </c>
      <c r="Q43" s="34">
        <f t="shared" si="28"/>
        <v>-25.375</v>
      </c>
      <c r="R43" s="34">
        <f t="shared" si="28"/>
        <v>-40.125</v>
      </c>
      <c r="S43" t="s">
        <v>85</v>
      </c>
    </row>
    <row r="44" spans="1:19" ht="20.25" customHeight="1" x14ac:dyDescent="0.2">
      <c r="A44" s="66" t="s">
        <v>24</v>
      </c>
      <c r="B44" s="66"/>
      <c r="C44" s="66"/>
      <c r="D44" s="34">
        <f>D42^2/(1*2^4)</f>
        <v>41310.5625</v>
      </c>
      <c r="E44" s="34">
        <f t="shared" ref="E44:R44" si="29">E42^2/(1*2^4)</f>
        <v>10.5625</v>
      </c>
      <c r="F44" s="34">
        <f t="shared" si="29"/>
        <v>217.5625</v>
      </c>
      <c r="G44" s="34">
        <f t="shared" si="29"/>
        <v>374850.0625</v>
      </c>
      <c r="H44" s="34">
        <f t="shared" si="29"/>
        <v>248.0625</v>
      </c>
      <c r="I44" s="34">
        <f t="shared" si="29"/>
        <v>2475.0625</v>
      </c>
      <c r="J44" s="34">
        <f t="shared" si="29"/>
        <v>94402.5625</v>
      </c>
      <c r="K44" s="34">
        <f t="shared" si="29"/>
        <v>7700.0625</v>
      </c>
      <c r="L44" s="34">
        <f t="shared" si="29"/>
        <v>1.5625</v>
      </c>
      <c r="M44" s="34">
        <f t="shared" si="29"/>
        <v>18.0625</v>
      </c>
      <c r="N44" s="34">
        <f t="shared" si="29"/>
        <v>976.5625</v>
      </c>
      <c r="O44" s="34">
        <f t="shared" si="29"/>
        <v>68.0625</v>
      </c>
      <c r="P44" s="34">
        <f t="shared" si="29"/>
        <v>126.5625</v>
      </c>
      <c r="Q44" s="34">
        <f t="shared" si="29"/>
        <v>2575.5625</v>
      </c>
      <c r="R44" s="34">
        <f t="shared" si="29"/>
        <v>6440.0625</v>
      </c>
    </row>
    <row r="46" spans="1:19" ht="20.25" customHeight="1" x14ac:dyDescent="0.2">
      <c r="A46" s="50" t="s">
        <v>67</v>
      </c>
      <c r="B46" s="50"/>
      <c r="C46" s="50"/>
      <c r="D46" s="50"/>
      <c r="E46" s="50"/>
      <c r="F46" s="50"/>
      <c r="G46" s="50"/>
      <c r="H46" s="50"/>
      <c r="I46" s="50"/>
    </row>
    <row r="47" spans="1:19" ht="16" x14ac:dyDescent="0.2">
      <c r="A47" s="14" t="s">
        <v>29</v>
      </c>
      <c r="B47" s="61" t="s">
        <v>83</v>
      </c>
      <c r="C47" s="51"/>
      <c r="D47" s="51"/>
      <c r="E47" s="51"/>
      <c r="F47" s="51"/>
      <c r="G47" s="51"/>
      <c r="H47" s="51"/>
      <c r="I47" s="51"/>
      <c r="J47" t="s">
        <v>87</v>
      </c>
    </row>
    <row r="48" spans="1:19" ht="20.25" customHeight="1" x14ac:dyDescent="0.2">
      <c r="A48" s="52" t="s">
        <v>68</v>
      </c>
      <c r="B48" s="52"/>
      <c r="C48" s="52"/>
      <c r="D48" s="52"/>
      <c r="E48" s="52"/>
      <c r="F48" s="52"/>
      <c r="G48" s="52"/>
      <c r="H48" s="52"/>
      <c r="I48" s="52"/>
    </row>
    <row r="49" spans="1:9" ht="16" x14ac:dyDescent="0.2">
      <c r="A49" s="14" t="s">
        <v>29</v>
      </c>
      <c r="B49" s="62">
        <f xml:space="preserve"> (D43/2 * (-1) ) + (G43/2 * (-1)) + (J43/2 * (-1)*(-1)) + AVERAGE(B8:B23)</f>
        <v>597</v>
      </c>
      <c r="C49" s="53"/>
      <c r="D49" s="53"/>
      <c r="E49" s="53"/>
      <c r="F49" s="53"/>
      <c r="G49" s="53"/>
      <c r="H49" s="53"/>
      <c r="I49" s="53"/>
    </row>
  </sheetData>
  <mergeCells count="10">
    <mergeCell ref="A46:I46"/>
    <mergeCell ref="B47:I47"/>
    <mergeCell ref="A48:I48"/>
    <mergeCell ref="B49:I49"/>
    <mergeCell ref="A6:A7"/>
    <mergeCell ref="B6:B7"/>
    <mergeCell ref="C6:R6"/>
    <mergeCell ref="A25:C42"/>
    <mergeCell ref="A43:C43"/>
    <mergeCell ref="A44:C4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A6A7-2C73-4EC6-89DE-C37E35FD39A7}">
  <dimension ref="A1:R51"/>
  <sheetViews>
    <sheetView tabSelected="1" topLeftCell="A43" zoomScale="139" workbookViewId="0">
      <selection activeCell="D27" sqref="D27"/>
    </sheetView>
  </sheetViews>
  <sheetFormatPr baseColWidth="10" defaultColWidth="10.6640625" defaultRowHeight="20.25" customHeight="1" x14ac:dyDescent="0.2"/>
  <cols>
    <col min="1" max="1" width="15.6640625" customWidth="1"/>
    <col min="2" max="17" width="8.6640625" customWidth="1"/>
  </cols>
  <sheetData>
    <row r="1" spans="1:17" ht="20.25" customHeight="1" x14ac:dyDescent="0.2">
      <c r="A1" t="s">
        <v>42</v>
      </c>
    </row>
    <row r="2" spans="1:17" ht="20.25" customHeight="1" x14ac:dyDescent="0.2">
      <c r="A2" t="s">
        <v>43</v>
      </c>
    </row>
    <row r="3" spans="1:17" ht="20.25" customHeight="1" x14ac:dyDescent="0.2">
      <c r="A3" t="s">
        <v>44</v>
      </c>
    </row>
    <row r="4" spans="1:17" ht="20.25" customHeight="1" x14ac:dyDescent="0.2">
      <c r="A4" t="s">
        <v>45</v>
      </c>
    </row>
    <row r="6" spans="1:17" ht="20.25" customHeight="1" x14ac:dyDescent="0.2">
      <c r="A6" s="46" t="s">
        <v>0</v>
      </c>
      <c r="B6" s="46" t="s">
        <v>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</row>
    <row r="7" spans="1:17" ht="20.25" customHeight="1" x14ac:dyDescent="0.2">
      <c r="A7" s="46"/>
      <c r="B7" s="3" t="s">
        <v>2</v>
      </c>
      <c r="C7" s="3" t="s">
        <v>3</v>
      </c>
      <c r="D7" s="3" t="s">
        <v>4</v>
      </c>
      <c r="E7" s="3" t="s">
        <v>5</v>
      </c>
      <c r="F7" s="3" t="s">
        <v>46</v>
      </c>
      <c r="G7" s="3" t="s">
        <v>6</v>
      </c>
      <c r="H7" s="3" t="s">
        <v>7</v>
      </c>
      <c r="I7" s="3" t="s">
        <v>55</v>
      </c>
      <c r="J7" s="3" t="s">
        <v>8</v>
      </c>
      <c r="K7" s="3" t="s">
        <v>56</v>
      </c>
      <c r="L7" s="3" t="s">
        <v>57</v>
      </c>
      <c r="M7" s="3" t="s">
        <v>9</v>
      </c>
      <c r="N7" s="3" t="s">
        <v>58</v>
      </c>
      <c r="O7" s="3" t="s">
        <v>59</v>
      </c>
      <c r="P7" s="3" t="s">
        <v>60</v>
      </c>
      <c r="Q7" s="3" t="s">
        <v>61</v>
      </c>
    </row>
    <row r="8" spans="1:17" ht="20.25" customHeight="1" x14ac:dyDescent="0.2">
      <c r="A8" s="4" t="s">
        <v>10</v>
      </c>
      <c r="B8" s="5">
        <v>1</v>
      </c>
      <c r="C8" s="5">
        <v>-1</v>
      </c>
      <c r="D8" s="5">
        <v>-1</v>
      </c>
      <c r="E8" s="5">
        <v>-1</v>
      </c>
      <c r="F8" s="5">
        <v>-1</v>
      </c>
      <c r="G8" s="6">
        <f>C8*D8</f>
        <v>1</v>
      </c>
      <c r="H8" s="6">
        <f>C8*E8</f>
        <v>1</v>
      </c>
      <c r="I8" s="6">
        <f>C8*F8</f>
        <v>1</v>
      </c>
      <c r="J8" s="6">
        <f>D8*E8</f>
        <v>1</v>
      </c>
      <c r="K8" s="6">
        <f>D8*F8</f>
        <v>1</v>
      </c>
      <c r="L8" s="6">
        <f>E8*F8</f>
        <v>1</v>
      </c>
      <c r="M8" s="6">
        <f>C8*D8*E8</f>
        <v>-1</v>
      </c>
      <c r="N8" s="6">
        <f>C8*D8*F8</f>
        <v>-1</v>
      </c>
      <c r="O8" s="6">
        <f>C8*E8*F8</f>
        <v>-1</v>
      </c>
      <c r="P8" s="6">
        <f>D8*E8*F8</f>
        <v>-1</v>
      </c>
      <c r="Q8" s="6">
        <f>C8*D8*E8*F8</f>
        <v>1</v>
      </c>
    </row>
    <row r="9" spans="1:17" ht="20.25" customHeight="1" x14ac:dyDescent="0.2">
      <c r="A9" s="5" t="s">
        <v>11</v>
      </c>
      <c r="B9" s="5">
        <v>1</v>
      </c>
      <c r="C9" s="5">
        <v>1</v>
      </c>
      <c r="D9" s="5">
        <v>-1</v>
      </c>
      <c r="E9" s="5">
        <v>-1</v>
      </c>
      <c r="F9" s="5">
        <v>-1</v>
      </c>
      <c r="G9" s="6">
        <f t="shared" ref="G9:G15" si="0">C9*D9</f>
        <v>-1</v>
      </c>
      <c r="H9" s="6">
        <f t="shared" ref="H9:H15" si="1">C9*E9</f>
        <v>-1</v>
      </c>
      <c r="I9" s="6">
        <f t="shared" ref="I9:I23" si="2">C9*F9</f>
        <v>-1</v>
      </c>
      <c r="J9" s="6">
        <f t="shared" ref="J9:J15" si="3">D9*E9</f>
        <v>1</v>
      </c>
      <c r="K9" s="6">
        <f t="shared" ref="K9:K23" si="4">D9*F9</f>
        <v>1</v>
      </c>
      <c r="L9" s="6">
        <f t="shared" ref="L9:L23" si="5">E9*F9</f>
        <v>1</v>
      </c>
      <c r="M9" s="6">
        <f t="shared" ref="M9:M23" si="6">C9*D9*E9</f>
        <v>1</v>
      </c>
      <c r="N9" s="6">
        <f t="shared" ref="N9:N23" si="7">C9*D9*F9</f>
        <v>1</v>
      </c>
      <c r="O9" s="6">
        <f t="shared" ref="O9:O23" si="8">C9*E9*F9</f>
        <v>1</v>
      </c>
      <c r="P9" s="6">
        <f t="shared" ref="P9:P23" si="9">D9*E9*F9</f>
        <v>-1</v>
      </c>
      <c r="Q9" s="6">
        <f t="shared" ref="Q9:Q23" si="10">C9*D9*E9*F9</f>
        <v>-1</v>
      </c>
    </row>
    <row r="10" spans="1:17" ht="20.25" customHeight="1" x14ac:dyDescent="0.2">
      <c r="A10" s="5" t="s">
        <v>12</v>
      </c>
      <c r="B10" s="5">
        <v>1</v>
      </c>
      <c r="C10" s="5">
        <v>-1</v>
      </c>
      <c r="D10" s="5">
        <v>1</v>
      </c>
      <c r="E10" s="5">
        <v>-1</v>
      </c>
      <c r="F10" s="5">
        <v>-1</v>
      </c>
      <c r="G10" s="6">
        <f t="shared" si="0"/>
        <v>-1</v>
      </c>
      <c r="H10" s="6">
        <f t="shared" si="1"/>
        <v>1</v>
      </c>
      <c r="I10" s="6">
        <f t="shared" si="2"/>
        <v>1</v>
      </c>
      <c r="J10" s="6">
        <f t="shared" si="3"/>
        <v>-1</v>
      </c>
      <c r="K10" s="6">
        <f t="shared" si="4"/>
        <v>-1</v>
      </c>
      <c r="L10" s="6">
        <f t="shared" si="5"/>
        <v>1</v>
      </c>
      <c r="M10" s="6">
        <f t="shared" si="6"/>
        <v>1</v>
      </c>
      <c r="N10" s="6">
        <f t="shared" si="7"/>
        <v>1</v>
      </c>
      <c r="O10" s="6">
        <f t="shared" si="8"/>
        <v>-1</v>
      </c>
      <c r="P10" s="6">
        <f t="shared" si="9"/>
        <v>1</v>
      </c>
      <c r="Q10" s="6">
        <f t="shared" si="10"/>
        <v>-1</v>
      </c>
    </row>
    <row r="11" spans="1:17" ht="20.25" customHeight="1" x14ac:dyDescent="0.2">
      <c r="A11" s="5" t="s">
        <v>14</v>
      </c>
      <c r="B11" s="5">
        <v>1</v>
      </c>
      <c r="C11" s="5">
        <v>1</v>
      </c>
      <c r="D11" s="5">
        <v>1</v>
      </c>
      <c r="E11" s="5">
        <v>-1</v>
      </c>
      <c r="F11" s="5">
        <v>-1</v>
      </c>
      <c r="G11" s="6">
        <f t="shared" si="0"/>
        <v>1</v>
      </c>
      <c r="H11" s="6">
        <f t="shared" si="1"/>
        <v>-1</v>
      </c>
      <c r="I11" s="6">
        <f t="shared" si="2"/>
        <v>-1</v>
      </c>
      <c r="J11" s="6">
        <f t="shared" si="3"/>
        <v>-1</v>
      </c>
      <c r="K11" s="6">
        <f t="shared" si="4"/>
        <v>-1</v>
      </c>
      <c r="L11" s="6">
        <f t="shared" si="5"/>
        <v>1</v>
      </c>
      <c r="M11" s="6">
        <f t="shared" si="6"/>
        <v>-1</v>
      </c>
      <c r="N11" s="6">
        <f t="shared" si="7"/>
        <v>-1</v>
      </c>
      <c r="O11" s="6">
        <f t="shared" si="8"/>
        <v>1</v>
      </c>
      <c r="P11" s="6">
        <f t="shared" si="9"/>
        <v>1</v>
      </c>
      <c r="Q11" s="6">
        <f t="shared" si="10"/>
        <v>1</v>
      </c>
    </row>
    <row r="12" spans="1:17" ht="20.25" customHeight="1" x14ac:dyDescent="0.2">
      <c r="A12" s="5" t="s">
        <v>13</v>
      </c>
      <c r="B12" s="5">
        <v>1</v>
      </c>
      <c r="C12" s="5">
        <v>-1</v>
      </c>
      <c r="D12" s="5">
        <v>-1</v>
      </c>
      <c r="E12" s="5">
        <v>1</v>
      </c>
      <c r="F12" s="5">
        <v>-1</v>
      </c>
      <c r="G12" s="6">
        <f t="shared" si="0"/>
        <v>1</v>
      </c>
      <c r="H12" s="6">
        <f t="shared" si="1"/>
        <v>-1</v>
      </c>
      <c r="I12" s="6">
        <f t="shared" si="2"/>
        <v>1</v>
      </c>
      <c r="J12" s="6">
        <f t="shared" si="3"/>
        <v>-1</v>
      </c>
      <c r="K12" s="6">
        <f t="shared" si="4"/>
        <v>1</v>
      </c>
      <c r="L12" s="6">
        <f t="shared" si="5"/>
        <v>-1</v>
      </c>
      <c r="M12" s="6">
        <f t="shared" si="6"/>
        <v>1</v>
      </c>
      <c r="N12" s="6">
        <f t="shared" si="7"/>
        <v>-1</v>
      </c>
      <c r="O12" s="6">
        <f t="shared" si="8"/>
        <v>1</v>
      </c>
      <c r="P12" s="6">
        <f t="shared" si="9"/>
        <v>1</v>
      </c>
      <c r="Q12" s="6">
        <f t="shared" si="10"/>
        <v>-1</v>
      </c>
    </row>
    <row r="13" spans="1:17" ht="20.25" customHeight="1" x14ac:dyDescent="0.2">
      <c r="A13" s="5" t="s">
        <v>15</v>
      </c>
      <c r="B13" s="5">
        <v>1</v>
      </c>
      <c r="C13" s="5">
        <v>1</v>
      </c>
      <c r="D13" s="5">
        <v>-1</v>
      </c>
      <c r="E13" s="5">
        <v>1</v>
      </c>
      <c r="F13" s="5">
        <v>-1</v>
      </c>
      <c r="G13" s="6">
        <f t="shared" si="0"/>
        <v>-1</v>
      </c>
      <c r="H13" s="6">
        <f t="shared" si="1"/>
        <v>1</v>
      </c>
      <c r="I13" s="6">
        <f t="shared" si="2"/>
        <v>-1</v>
      </c>
      <c r="J13" s="6">
        <f t="shared" si="3"/>
        <v>-1</v>
      </c>
      <c r="K13" s="6">
        <f t="shared" si="4"/>
        <v>1</v>
      </c>
      <c r="L13" s="6">
        <f t="shared" si="5"/>
        <v>-1</v>
      </c>
      <c r="M13" s="6">
        <f t="shared" si="6"/>
        <v>-1</v>
      </c>
      <c r="N13" s="6">
        <f t="shared" si="7"/>
        <v>1</v>
      </c>
      <c r="O13" s="6">
        <f t="shared" si="8"/>
        <v>-1</v>
      </c>
      <c r="P13" s="6">
        <f t="shared" si="9"/>
        <v>1</v>
      </c>
      <c r="Q13" s="6">
        <f t="shared" si="10"/>
        <v>1</v>
      </c>
    </row>
    <row r="14" spans="1:17" ht="20.25" customHeight="1" x14ac:dyDescent="0.2">
      <c r="A14" s="5" t="s">
        <v>16</v>
      </c>
      <c r="B14" s="5">
        <v>1</v>
      </c>
      <c r="C14" s="5">
        <v>-1</v>
      </c>
      <c r="D14" s="5">
        <v>1</v>
      </c>
      <c r="E14" s="5">
        <v>1</v>
      </c>
      <c r="F14" s="5">
        <v>-1</v>
      </c>
      <c r="G14" s="6">
        <f t="shared" si="0"/>
        <v>-1</v>
      </c>
      <c r="H14" s="6">
        <f t="shared" si="1"/>
        <v>-1</v>
      </c>
      <c r="I14" s="6">
        <f t="shared" si="2"/>
        <v>1</v>
      </c>
      <c r="J14" s="6">
        <f t="shared" si="3"/>
        <v>1</v>
      </c>
      <c r="K14" s="6">
        <f t="shared" si="4"/>
        <v>-1</v>
      </c>
      <c r="L14" s="6">
        <f t="shared" si="5"/>
        <v>-1</v>
      </c>
      <c r="M14" s="6">
        <f t="shared" si="6"/>
        <v>-1</v>
      </c>
      <c r="N14" s="6">
        <f t="shared" si="7"/>
        <v>1</v>
      </c>
      <c r="O14" s="6">
        <f t="shared" si="8"/>
        <v>1</v>
      </c>
      <c r="P14" s="6">
        <f t="shared" si="9"/>
        <v>-1</v>
      </c>
      <c r="Q14" s="6">
        <f t="shared" si="10"/>
        <v>1</v>
      </c>
    </row>
    <row r="15" spans="1:17" ht="20.25" customHeight="1" x14ac:dyDescent="0.2">
      <c r="A15" s="5" t="s">
        <v>17</v>
      </c>
      <c r="B15" s="5">
        <v>1</v>
      </c>
      <c r="C15" s="5">
        <v>1</v>
      </c>
      <c r="D15" s="5">
        <v>1</v>
      </c>
      <c r="E15" s="5">
        <v>1</v>
      </c>
      <c r="F15" s="5">
        <v>-1</v>
      </c>
      <c r="G15" s="6">
        <f t="shared" si="0"/>
        <v>1</v>
      </c>
      <c r="H15" s="6">
        <f t="shared" si="1"/>
        <v>1</v>
      </c>
      <c r="I15" s="6">
        <f t="shared" si="2"/>
        <v>-1</v>
      </c>
      <c r="J15" s="6">
        <f t="shared" si="3"/>
        <v>1</v>
      </c>
      <c r="K15" s="6">
        <f t="shared" si="4"/>
        <v>-1</v>
      </c>
      <c r="L15" s="6">
        <f t="shared" si="5"/>
        <v>-1</v>
      </c>
      <c r="M15" s="6">
        <f t="shared" si="6"/>
        <v>1</v>
      </c>
      <c r="N15" s="6">
        <f t="shared" si="7"/>
        <v>-1</v>
      </c>
      <c r="O15" s="6">
        <f t="shared" si="8"/>
        <v>-1</v>
      </c>
      <c r="P15" s="6">
        <f t="shared" si="9"/>
        <v>-1</v>
      </c>
      <c r="Q15" s="6">
        <f t="shared" si="10"/>
        <v>-1</v>
      </c>
    </row>
    <row r="16" spans="1:17" ht="20.25" customHeight="1" x14ac:dyDescent="0.2">
      <c r="A16" s="4" t="s">
        <v>47</v>
      </c>
      <c r="B16" s="5">
        <v>1</v>
      </c>
      <c r="C16" s="5">
        <v>-1</v>
      </c>
      <c r="D16" s="5">
        <v>-1</v>
      </c>
      <c r="E16" s="5">
        <v>-1</v>
      </c>
      <c r="F16" s="5">
        <v>1</v>
      </c>
      <c r="G16" s="6">
        <f>C16*D16</f>
        <v>1</v>
      </c>
      <c r="H16" s="6">
        <f>C16*E16</f>
        <v>1</v>
      </c>
      <c r="I16" s="6">
        <f t="shared" si="2"/>
        <v>-1</v>
      </c>
      <c r="J16" s="6">
        <f>D16*E16</f>
        <v>1</v>
      </c>
      <c r="K16" s="6">
        <f t="shared" si="4"/>
        <v>-1</v>
      </c>
      <c r="L16" s="6">
        <f t="shared" si="5"/>
        <v>-1</v>
      </c>
      <c r="M16" s="6">
        <f t="shared" si="6"/>
        <v>-1</v>
      </c>
      <c r="N16" s="6">
        <f t="shared" si="7"/>
        <v>1</v>
      </c>
      <c r="O16" s="6">
        <f t="shared" si="8"/>
        <v>1</v>
      </c>
      <c r="P16" s="6">
        <f t="shared" si="9"/>
        <v>1</v>
      </c>
      <c r="Q16" s="6">
        <f t="shared" si="10"/>
        <v>-1</v>
      </c>
    </row>
    <row r="17" spans="1:17" ht="20.25" customHeight="1" x14ac:dyDescent="0.2">
      <c r="A17" s="5" t="s">
        <v>48</v>
      </c>
      <c r="B17" s="5">
        <v>1</v>
      </c>
      <c r="C17" s="5">
        <v>1</v>
      </c>
      <c r="D17" s="5">
        <v>-1</v>
      </c>
      <c r="E17" s="5">
        <v>-1</v>
      </c>
      <c r="F17" s="5">
        <v>1</v>
      </c>
      <c r="G17" s="6">
        <f t="shared" ref="G17:G23" si="11">C17*D17</f>
        <v>-1</v>
      </c>
      <c r="H17" s="6">
        <f t="shared" ref="H17:H23" si="12">C17*E17</f>
        <v>-1</v>
      </c>
      <c r="I17" s="6">
        <f t="shared" si="2"/>
        <v>1</v>
      </c>
      <c r="J17" s="6">
        <f t="shared" ref="J17:J23" si="13">D17*E17</f>
        <v>1</v>
      </c>
      <c r="K17" s="6">
        <f t="shared" si="4"/>
        <v>-1</v>
      </c>
      <c r="L17" s="6">
        <f t="shared" si="5"/>
        <v>-1</v>
      </c>
      <c r="M17" s="6">
        <f t="shared" si="6"/>
        <v>1</v>
      </c>
      <c r="N17" s="6">
        <f t="shared" si="7"/>
        <v>-1</v>
      </c>
      <c r="O17" s="6">
        <f t="shared" si="8"/>
        <v>-1</v>
      </c>
      <c r="P17" s="6">
        <f t="shared" si="9"/>
        <v>1</v>
      </c>
      <c r="Q17" s="6">
        <f t="shared" si="10"/>
        <v>1</v>
      </c>
    </row>
    <row r="18" spans="1:17" ht="20.25" customHeight="1" x14ac:dyDescent="0.2">
      <c r="A18" s="5" t="s">
        <v>49</v>
      </c>
      <c r="B18" s="5">
        <v>1</v>
      </c>
      <c r="C18" s="5">
        <v>-1</v>
      </c>
      <c r="D18" s="5">
        <v>1</v>
      </c>
      <c r="E18" s="5">
        <v>-1</v>
      </c>
      <c r="F18" s="5">
        <v>1</v>
      </c>
      <c r="G18" s="6">
        <f t="shared" si="11"/>
        <v>-1</v>
      </c>
      <c r="H18" s="6">
        <f t="shared" si="12"/>
        <v>1</v>
      </c>
      <c r="I18" s="6">
        <f t="shared" si="2"/>
        <v>-1</v>
      </c>
      <c r="J18" s="6">
        <f t="shared" si="13"/>
        <v>-1</v>
      </c>
      <c r="K18" s="6">
        <f t="shared" si="4"/>
        <v>1</v>
      </c>
      <c r="L18" s="6">
        <f t="shared" si="5"/>
        <v>-1</v>
      </c>
      <c r="M18" s="6">
        <f t="shared" si="6"/>
        <v>1</v>
      </c>
      <c r="N18" s="6">
        <f t="shared" si="7"/>
        <v>-1</v>
      </c>
      <c r="O18" s="6">
        <f t="shared" si="8"/>
        <v>1</v>
      </c>
      <c r="P18" s="6">
        <f t="shared" si="9"/>
        <v>-1</v>
      </c>
      <c r="Q18" s="6">
        <f t="shared" si="10"/>
        <v>1</v>
      </c>
    </row>
    <row r="19" spans="1:17" ht="20.25" customHeight="1" x14ac:dyDescent="0.2">
      <c r="A19" s="5" t="s">
        <v>50</v>
      </c>
      <c r="B19" s="5">
        <v>1</v>
      </c>
      <c r="C19" s="5">
        <v>1</v>
      </c>
      <c r="D19" s="5">
        <v>1</v>
      </c>
      <c r="E19" s="5">
        <v>-1</v>
      </c>
      <c r="F19" s="5">
        <v>1</v>
      </c>
      <c r="G19" s="6">
        <f t="shared" si="11"/>
        <v>1</v>
      </c>
      <c r="H19" s="6">
        <f t="shared" si="12"/>
        <v>-1</v>
      </c>
      <c r="I19" s="6">
        <f t="shared" si="2"/>
        <v>1</v>
      </c>
      <c r="J19" s="6">
        <f t="shared" si="13"/>
        <v>-1</v>
      </c>
      <c r="K19" s="6">
        <f t="shared" si="4"/>
        <v>1</v>
      </c>
      <c r="L19" s="6">
        <f t="shared" si="5"/>
        <v>-1</v>
      </c>
      <c r="M19" s="6">
        <f t="shared" si="6"/>
        <v>-1</v>
      </c>
      <c r="N19" s="6">
        <f t="shared" si="7"/>
        <v>1</v>
      </c>
      <c r="O19" s="6">
        <f t="shared" si="8"/>
        <v>-1</v>
      </c>
      <c r="P19" s="6">
        <f t="shared" si="9"/>
        <v>-1</v>
      </c>
      <c r="Q19" s="6">
        <f t="shared" si="10"/>
        <v>-1</v>
      </c>
    </row>
    <row r="20" spans="1:17" ht="20.25" customHeight="1" x14ac:dyDescent="0.2">
      <c r="A20" s="5" t="s">
        <v>51</v>
      </c>
      <c r="B20" s="5">
        <v>1</v>
      </c>
      <c r="C20" s="5">
        <v>-1</v>
      </c>
      <c r="D20" s="5">
        <v>-1</v>
      </c>
      <c r="E20" s="5">
        <v>1</v>
      </c>
      <c r="F20" s="5">
        <v>1</v>
      </c>
      <c r="G20" s="6">
        <f t="shared" si="11"/>
        <v>1</v>
      </c>
      <c r="H20" s="6">
        <f t="shared" si="12"/>
        <v>-1</v>
      </c>
      <c r="I20" s="6">
        <f t="shared" si="2"/>
        <v>-1</v>
      </c>
      <c r="J20" s="6">
        <f t="shared" si="13"/>
        <v>-1</v>
      </c>
      <c r="K20" s="6">
        <f t="shared" si="4"/>
        <v>-1</v>
      </c>
      <c r="L20" s="6">
        <f t="shared" si="5"/>
        <v>1</v>
      </c>
      <c r="M20" s="6">
        <f t="shared" si="6"/>
        <v>1</v>
      </c>
      <c r="N20" s="6">
        <f t="shared" si="7"/>
        <v>1</v>
      </c>
      <c r="O20" s="6">
        <f t="shared" si="8"/>
        <v>-1</v>
      </c>
      <c r="P20" s="6">
        <f t="shared" si="9"/>
        <v>-1</v>
      </c>
      <c r="Q20" s="6">
        <f t="shared" si="10"/>
        <v>1</v>
      </c>
    </row>
    <row r="21" spans="1:17" ht="20.25" customHeight="1" x14ac:dyDescent="0.2">
      <c r="A21" s="5" t="s">
        <v>52</v>
      </c>
      <c r="B21" s="5">
        <v>1</v>
      </c>
      <c r="C21" s="5">
        <v>1</v>
      </c>
      <c r="D21" s="5">
        <v>-1</v>
      </c>
      <c r="E21" s="5">
        <v>1</v>
      </c>
      <c r="F21" s="5">
        <v>1</v>
      </c>
      <c r="G21" s="6">
        <f t="shared" si="11"/>
        <v>-1</v>
      </c>
      <c r="H21" s="6">
        <f t="shared" si="12"/>
        <v>1</v>
      </c>
      <c r="I21" s="6">
        <f t="shared" si="2"/>
        <v>1</v>
      </c>
      <c r="J21" s="6">
        <f t="shared" si="13"/>
        <v>-1</v>
      </c>
      <c r="K21" s="6">
        <f t="shared" si="4"/>
        <v>-1</v>
      </c>
      <c r="L21" s="6">
        <f t="shared" si="5"/>
        <v>1</v>
      </c>
      <c r="M21" s="6">
        <f t="shared" si="6"/>
        <v>-1</v>
      </c>
      <c r="N21" s="6">
        <f t="shared" si="7"/>
        <v>-1</v>
      </c>
      <c r="O21" s="6">
        <f t="shared" si="8"/>
        <v>1</v>
      </c>
      <c r="P21" s="6">
        <f t="shared" si="9"/>
        <v>-1</v>
      </c>
      <c r="Q21" s="6">
        <f t="shared" si="10"/>
        <v>-1</v>
      </c>
    </row>
    <row r="22" spans="1:17" ht="20.25" customHeight="1" x14ac:dyDescent="0.2">
      <c r="A22" s="5" t="s">
        <v>53</v>
      </c>
      <c r="B22" s="5">
        <v>1</v>
      </c>
      <c r="C22" s="5">
        <v>-1</v>
      </c>
      <c r="D22" s="5">
        <v>1</v>
      </c>
      <c r="E22" s="5">
        <v>1</v>
      </c>
      <c r="F22" s="5">
        <v>1</v>
      </c>
      <c r="G22" s="6">
        <f t="shared" si="11"/>
        <v>-1</v>
      </c>
      <c r="H22" s="6">
        <f t="shared" si="12"/>
        <v>-1</v>
      </c>
      <c r="I22" s="6">
        <f t="shared" si="2"/>
        <v>-1</v>
      </c>
      <c r="J22" s="6">
        <f t="shared" si="13"/>
        <v>1</v>
      </c>
      <c r="K22" s="6">
        <f t="shared" si="4"/>
        <v>1</v>
      </c>
      <c r="L22" s="6">
        <f t="shared" si="5"/>
        <v>1</v>
      </c>
      <c r="M22" s="6">
        <f t="shared" si="6"/>
        <v>-1</v>
      </c>
      <c r="N22" s="6">
        <f t="shared" si="7"/>
        <v>-1</v>
      </c>
      <c r="O22" s="6">
        <f t="shared" si="8"/>
        <v>-1</v>
      </c>
      <c r="P22" s="6">
        <f t="shared" si="9"/>
        <v>1</v>
      </c>
      <c r="Q22" s="6">
        <f t="shared" si="10"/>
        <v>-1</v>
      </c>
    </row>
    <row r="23" spans="1:17" ht="20.25" customHeight="1" x14ac:dyDescent="0.2">
      <c r="A23" s="5" t="s">
        <v>54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6">
        <f t="shared" si="11"/>
        <v>1</v>
      </c>
      <c r="H23" s="6">
        <f t="shared" si="12"/>
        <v>1</v>
      </c>
      <c r="I23" s="6">
        <f t="shared" si="2"/>
        <v>1</v>
      </c>
      <c r="J23" s="6">
        <f t="shared" si="13"/>
        <v>1</v>
      </c>
      <c r="K23" s="6">
        <f t="shared" si="4"/>
        <v>1</v>
      </c>
      <c r="L23" s="6">
        <f t="shared" si="5"/>
        <v>1</v>
      </c>
      <c r="M23" s="6">
        <f t="shared" si="6"/>
        <v>1</v>
      </c>
      <c r="N23" s="6">
        <f t="shared" si="7"/>
        <v>1</v>
      </c>
      <c r="O23" s="6">
        <f t="shared" si="8"/>
        <v>1</v>
      </c>
      <c r="P23" s="6">
        <f t="shared" si="9"/>
        <v>1</v>
      </c>
      <c r="Q23" s="6">
        <f t="shared" si="10"/>
        <v>1</v>
      </c>
    </row>
    <row r="25" spans="1:17" ht="40" customHeight="1" x14ac:dyDescent="0.2">
      <c r="A25" s="27" t="s">
        <v>62</v>
      </c>
      <c r="B25" s="3" t="s">
        <v>3</v>
      </c>
      <c r="C25" s="3" t="s">
        <v>4</v>
      </c>
      <c r="D25" s="3" t="s">
        <v>5</v>
      </c>
      <c r="E25" s="28" t="s">
        <v>63</v>
      </c>
      <c r="F25" s="47" t="s">
        <v>0</v>
      </c>
      <c r="G25" s="48"/>
      <c r="H25" s="3" t="s">
        <v>64</v>
      </c>
      <c r="K25" t="s">
        <v>92</v>
      </c>
      <c r="L25" t="s">
        <v>51</v>
      </c>
      <c r="M25" t="s">
        <v>15</v>
      </c>
      <c r="N25" t="s">
        <v>48</v>
      </c>
      <c r="O25" t="s">
        <v>50</v>
      </c>
    </row>
    <row r="26" spans="1:17" ht="20.25" customHeight="1" x14ac:dyDescent="0.2">
      <c r="B26" s="5">
        <v>-1</v>
      </c>
      <c r="C26" s="5">
        <v>-1</v>
      </c>
      <c r="D26" s="5">
        <v>-1</v>
      </c>
      <c r="E26" s="29">
        <f>B26*C26*D26</f>
        <v>-1</v>
      </c>
      <c r="F26" s="49" t="s">
        <v>10</v>
      </c>
      <c r="G26" s="45"/>
      <c r="H26" s="5">
        <v>550</v>
      </c>
      <c r="K26">
        <f>B26*C26</f>
        <v>1</v>
      </c>
      <c r="L26">
        <f>D26*E26</f>
        <v>1</v>
      </c>
      <c r="M26">
        <f>B26*D26</f>
        <v>1</v>
      </c>
      <c r="N26">
        <f>B26*E26</f>
        <v>1</v>
      </c>
      <c r="O26">
        <f>B26*C26*E26</f>
        <v>-1</v>
      </c>
    </row>
    <row r="27" spans="1:17" ht="20.25" customHeight="1" x14ac:dyDescent="0.2">
      <c r="B27" s="5">
        <v>1</v>
      </c>
      <c r="C27" s="5">
        <v>-1</v>
      </c>
      <c r="D27" s="5">
        <v>-1</v>
      </c>
      <c r="E27" s="29">
        <f t="shared" ref="E27:E33" si="14">B27*C27*D27</f>
        <v>1</v>
      </c>
      <c r="F27" s="44" t="s">
        <v>48</v>
      </c>
      <c r="G27" s="45"/>
      <c r="H27" s="5">
        <v>749</v>
      </c>
      <c r="K27">
        <f t="shared" ref="K27:K33" si="15">B27*C27</f>
        <v>-1</v>
      </c>
      <c r="L27">
        <f t="shared" ref="L27:L33" si="16">D27*E27</f>
        <v>-1</v>
      </c>
      <c r="M27">
        <f t="shared" ref="M27:M33" si="17">B27*D27</f>
        <v>-1</v>
      </c>
      <c r="N27">
        <f t="shared" ref="N27:N33" si="18">B27*E27</f>
        <v>1</v>
      </c>
      <c r="O27">
        <f t="shared" ref="O27:O33" si="19">B27*C27*E27</f>
        <v>-1</v>
      </c>
    </row>
    <row r="28" spans="1:17" ht="20.25" customHeight="1" x14ac:dyDescent="0.2">
      <c r="B28" s="5">
        <v>-1</v>
      </c>
      <c r="C28" s="5">
        <v>1</v>
      </c>
      <c r="D28" s="5">
        <v>-1</v>
      </c>
      <c r="E28" s="29">
        <f t="shared" si="14"/>
        <v>1</v>
      </c>
      <c r="F28" s="44" t="s">
        <v>49</v>
      </c>
      <c r="G28" s="45"/>
      <c r="H28" s="5">
        <v>1052</v>
      </c>
      <c r="K28">
        <f t="shared" si="15"/>
        <v>-1</v>
      </c>
      <c r="L28">
        <f t="shared" si="16"/>
        <v>-1</v>
      </c>
      <c r="M28">
        <f t="shared" si="17"/>
        <v>1</v>
      </c>
      <c r="N28">
        <f t="shared" si="18"/>
        <v>-1</v>
      </c>
      <c r="O28">
        <f t="shared" si="19"/>
        <v>-1</v>
      </c>
    </row>
    <row r="29" spans="1:17" ht="20.25" customHeight="1" x14ac:dyDescent="0.2">
      <c r="B29" s="5">
        <v>1</v>
      </c>
      <c r="C29" s="5">
        <v>1</v>
      </c>
      <c r="D29" s="5">
        <v>-1</v>
      </c>
      <c r="E29" s="29">
        <f t="shared" si="14"/>
        <v>-1</v>
      </c>
      <c r="F29" s="44" t="s">
        <v>14</v>
      </c>
      <c r="G29" s="45"/>
      <c r="H29" s="5">
        <v>650</v>
      </c>
      <c r="K29">
        <f t="shared" si="15"/>
        <v>1</v>
      </c>
      <c r="L29">
        <f t="shared" si="16"/>
        <v>1</v>
      </c>
      <c r="M29">
        <f t="shared" si="17"/>
        <v>-1</v>
      </c>
      <c r="N29">
        <f t="shared" si="18"/>
        <v>-1</v>
      </c>
      <c r="O29">
        <f t="shared" si="19"/>
        <v>-1</v>
      </c>
    </row>
    <row r="30" spans="1:17" ht="20.25" customHeight="1" x14ac:dyDescent="0.2">
      <c r="B30" s="5">
        <v>-1</v>
      </c>
      <c r="C30" s="5">
        <v>-1</v>
      </c>
      <c r="D30" s="5">
        <v>1</v>
      </c>
      <c r="E30" s="29">
        <f t="shared" si="14"/>
        <v>1</v>
      </c>
      <c r="F30" s="44" t="s">
        <v>51</v>
      </c>
      <c r="G30" s="45"/>
      <c r="H30" s="5">
        <v>1075</v>
      </c>
      <c r="K30">
        <f t="shared" si="15"/>
        <v>1</v>
      </c>
      <c r="L30">
        <f t="shared" si="16"/>
        <v>1</v>
      </c>
      <c r="M30">
        <f t="shared" si="17"/>
        <v>-1</v>
      </c>
      <c r="N30">
        <f t="shared" si="18"/>
        <v>-1</v>
      </c>
      <c r="O30">
        <f t="shared" si="19"/>
        <v>1</v>
      </c>
    </row>
    <row r="31" spans="1:17" ht="20.25" customHeight="1" x14ac:dyDescent="0.2">
      <c r="B31" s="5">
        <v>1</v>
      </c>
      <c r="C31" s="5">
        <v>-1</v>
      </c>
      <c r="D31" s="5">
        <v>1</v>
      </c>
      <c r="E31" s="29">
        <f t="shared" si="14"/>
        <v>-1</v>
      </c>
      <c r="F31" s="44" t="s">
        <v>15</v>
      </c>
      <c r="G31" s="45"/>
      <c r="H31" s="5">
        <v>642</v>
      </c>
      <c r="K31">
        <f t="shared" si="15"/>
        <v>-1</v>
      </c>
      <c r="L31">
        <f t="shared" si="16"/>
        <v>-1</v>
      </c>
      <c r="M31">
        <f t="shared" si="17"/>
        <v>1</v>
      </c>
      <c r="N31">
        <f t="shared" si="18"/>
        <v>-1</v>
      </c>
      <c r="O31">
        <f t="shared" si="19"/>
        <v>1</v>
      </c>
    </row>
    <row r="32" spans="1:17" ht="20.25" customHeight="1" x14ac:dyDescent="0.2">
      <c r="B32" s="5">
        <v>-1</v>
      </c>
      <c r="C32" s="5">
        <v>1</v>
      </c>
      <c r="D32" s="5">
        <v>1</v>
      </c>
      <c r="E32" s="29">
        <f t="shared" si="14"/>
        <v>-1</v>
      </c>
      <c r="F32" s="44" t="s">
        <v>16</v>
      </c>
      <c r="G32" s="45"/>
      <c r="H32" s="5">
        <v>601</v>
      </c>
      <c r="K32">
        <f t="shared" si="15"/>
        <v>-1</v>
      </c>
      <c r="L32">
        <f t="shared" si="16"/>
        <v>-1</v>
      </c>
      <c r="M32">
        <f t="shared" si="17"/>
        <v>-1</v>
      </c>
      <c r="N32">
        <f t="shared" si="18"/>
        <v>1</v>
      </c>
      <c r="O32">
        <f t="shared" si="19"/>
        <v>1</v>
      </c>
    </row>
    <row r="33" spans="1:18" ht="20.25" customHeight="1" x14ac:dyDescent="0.2">
      <c r="B33" s="5">
        <v>1</v>
      </c>
      <c r="C33" s="5">
        <v>1</v>
      </c>
      <c r="D33" s="5">
        <v>1</v>
      </c>
      <c r="E33" s="29">
        <f t="shared" si="14"/>
        <v>1</v>
      </c>
      <c r="F33" s="44" t="s">
        <v>54</v>
      </c>
      <c r="G33" s="45"/>
      <c r="H33" s="5">
        <v>729</v>
      </c>
      <c r="K33">
        <f t="shared" si="15"/>
        <v>1</v>
      </c>
      <c r="L33">
        <f t="shared" si="16"/>
        <v>1</v>
      </c>
      <c r="M33">
        <f t="shared" si="17"/>
        <v>1</v>
      </c>
      <c r="N33">
        <f t="shared" si="18"/>
        <v>1</v>
      </c>
      <c r="O33">
        <f t="shared" si="19"/>
        <v>1</v>
      </c>
    </row>
    <row r="34" spans="1:18" ht="20.25" customHeight="1" x14ac:dyDescent="0.2">
      <c r="K34" s="5"/>
    </row>
    <row r="35" spans="1:18" ht="20.25" customHeight="1" x14ac:dyDescent="0.2">
      <c r="A35" s="42" t="s">
        <v>22</v>
      </c>
      <c r="B35" s="3" t="s">
        <v>3</v>
      </c>
      <c r="C35" s="3" t="s">
        <v>4</v>
      </c>
      <c r="D35" s="3" t="s">
        <v>5</v>
      </c>
      <c r="E35" s="3" t="s">
        <v>63</v>
      </c>
      <c r="F35" s="40" t="s">
        <v>88</v>
      </c>
      <c r="K35" s="41"/>
      <c r="N35" t="s">
        <v>14</v>
      </c>
      <c r="O35" t="s">
        <v>51</v>
      </c>
      <c r="P35" t="s">
        <v>15</v>
      </c>
      <c r="Q35" t="s">
        <v>48</v>
      </c>
      <c r="R35" t="s">
        <v>50</v>
      </c>
    </row>
    <row r="36" spans="1:18" ht="20.25" customHeight="1" x14ac:dyDescent="0.2">
      <c r="A36" s="42"/>
      <c r="B36" s="5">
        <f>B26*$H26</f>
        <v>-550</v>
      </c>
      <c r="C36" s="5">
        <f t="shared" ref="C36:E36" si="20">C26*$H26</f>
        <v>-550</v>
      </c>
      <c r="D36" s="5">
        <f t="shared" si="20"/>
        <v>-550</v>
      </c>
      <c r="E36" s="5">
        <f t="shared" si="20"/>
        <v>-550</v>
      </c>
      <c r="K36" s="41"/>
      <c r="N36">
        <f>K26*$H26</f>
        <v>550</v>
      </c>
      <c r="O36">
        <f t="shared" ref="O36:R36" si="21">L26*$H26</f>
        <v>550</v>
      </c>
      <c r="P36">
        <f t="shared" si="21"/>
        <v>550</v>
      </c>
      <c r="Q36">
        <f t="shared" si="21"/>
        <v>550</v>
      </c>
      <c r="R36">
        <f t="shared" si="21"/>
        <v>-550</v>
      </c>
    </row>
    <row r="37" spans="1:18" ht="20.25" customHeight="1" x14ac:dyDescent="0.2">
      <c r="A37" s="42"/>
      <c r="B37" s="5">
        <f t="shared" ref="B37:E37" si="22">B27*$H27</f>
        <v>749</v>
      </c>
      <c r="C37" s="5">
        <f t="shared" si="22"/>
        <v>-749</v>
      </c>
      <c r="D37" s="5">
        <f t="shared" si="22"/>
        <v>-749</v>
      </c>
      <c r="E37" s="5">
        <f t="shared" si="22"/>
        <v>749</v>
      </c>
      <c r="N37">
        <f>K27*$H27</f>
        <v>-749</v>
      </c>
      <c r="O37">
        <f t="shared" ref="O37:R37" si="23">L27*$H27</f>
        <v>-749</v>
      </c>
      <c r="P37">
        <f t="shared" si="23"/>
        <v>-749</v>
      </c>
      <c r="Q37">
        <f t="shared" si="23"/>
        <v>749</v>
      </c>
      <c r="R37">
        <f t="shared" si="23"/>
        <v>-749</v>
      </c>
    </row>
    <row r="38" spans="1:18" ht="20.25" customHeight="1" x14ac:dyDescent="0.2">
      <c r="A38" s="42"/>
      <c r="B38" s="5">
        <f t="shared" ref="B38:E38" si="24">B28*$H28</f>
        <v>-1052</v>
      </c>
      <c r="C38" s="5">
        <f t="shared" si="24"/>
        <v>1052</v>
      </c>
      <c r="D38" s="5">
        <f t="shared" si="24"/>
        <v>-1052</v>
      </c>
      <c r="E38" s="5">
        <f t="shared" si="24"/>
        <v>1052</v>
      </c>
      <c r="N38">
        <f>K28*$H28</f>
        <v>-1052</v>
      </c>
      <c r="O38">
        <f t="shared" ref="O38:R38" si="25">L28*$H28</f>
        <v>-1052</v>
      </c>
      <c r="P38">
        <f t="shared" si="25"/>
        <v>1052</v>
      </c>
      <c r="Q38">
        <f t="shared" si="25"/>
        <v>-1052</v>
      </c>
      <c r="R38">
        <f t="shared" si="25"/>
        <v>-1052</v>
      </c>
    </row>
    <row r="39" spans="1:18" ht="20.25" customHeight="1" x14ac:dyDescent="0.2">
      <c r="A39" s="42"/>
      <c r="B39" s="5">
        <f t="shared" ref="B39:E39" si="26">B29*$H29</f>
        <v>650</v>
      </c>
      <c r="C39" s="5">
        <f t="shared" si="26"/>
        <v>650</v>
      </c>
      <c r="D39" s="5">
        <f t="shared" si="26"/>
        <v>-650</v>
      </c>
      <c r="E39" s="5">
        <f t="shared" si="26"/>
        <v>-650</v>
      </c>
      <c r="N39">
        <f>K29*$H29</f>
        <v>650</v>
      </c>
      <c r="O39">
        <f t="shared" ref="O39:R39" si="27">L29*$H29</f>
        <v>650</v>
      </c>
      <c r="P39">
        <f t="shared" si="27"/>
        <v>-650</v>
      </c>
      <c r="Q39">
        <f t="shared" si="27"/>
        <v>-650</v>
      </c>
      <c r="R39">
        <f t="shared" si="27"/>
        <v>-650</v>
      </c>
    </row>
    <row r="40" spans="1:18" ht="20.25" customHeight="1" x14ac:dyDescent="0.2">
      <c r="A40" s="42"/>
      <c r="B40" s="5">
        <f t="shared" ref="B40:E40" si="28">B30*$H30</f>
        <v>-1075</v>
      </c>
      <c r="C40" s="5">
        <f t="shared" si="28"/>
        <v>-1075</v>
      </c>
      <c r="D40" s="5">
        <f t="shared" si="28"/>
        <v>1075</v>
      </c>
      <c r="E40" s="5">
        <f t="shared" si="28"/>
        <v>1075</v>
      </c>
      <c r="N40">
        <f>K30*$H30</f>
        <v>1075</v>
      </c>
      <c r="O40">
        <f t="shared" ref="O40:R43" si="29">L30*$H30</f>
        <v>1075</v>
      </c>
      <c r="P40">
        <f t="shared" si="29"/>
        <v>-1075</v>
      </c>
      <c r="Q40">
        <f t="shared" si="29"/>
        <v>-1075</v>
      </c>
      <c r="R40">
        <f t="shared" si="29"/>
        <v>1075</v>
      </c>
    </row>
    <row r="41" spans="1:18" ht="20.25" customHeight="1" x14ac:dyDescent="0.2">
      <c r="A41" s="42"/>
      <c r="B41" s="5">
        <f t="shared" ref="B41:E41" si="30">B31*$H31</f>
        <v>642</v>
      </c>
      <c r="C41" s="5">
        <f t="shared" si="30"/>
        <v>-642</v>
      </c>
      <c r="D41" s="5">
        <f t="shared" si="30"/>
        <v>642</v>
      </c>
      <c r="E41" s="5">
        <f t="shared" si="30"/>
        <v>-642</v>
      </c>
      <c r="N41">
        <f t="shared" ref="N41:N43" si="31">K31*$H31</f>
        <v>-642</v>
      </c>
      <c r="O41">
        <f t="shared" si="29"/>
        <v>-642</v>
      </c>
      <c r="P41">
        <f t="shared" si="29"/>
        <v>642</v>
      </c>
      <c r="Q41">
        <f t="shared" si="29"/>
        <v>-642</v>
      </c>
      <c r="R41">
        <f t="shared" si="29"/>
        <v>642</v>
      </c>
    </row>
    <row r="42" spans="1:18" ht="20.25" customHeight="1" x14ac:dyDescent="0.2">
      <c r="A42" s="42"/>
      <c r="B42" s="5">
        <f t="shared" ref="B42:E42" si="32">B32*$H32</f>
        <v>-601</v>
      </c>
      <c r="C42" s="5">
        <f t="shared" si="32"/>
        <v>601</v>
      </c>
      <c r="D42" s="5">
        <f t="shared" si="32"/>
        <v>601</v>
      </c>
      <c r="E42" s="5">
        <f t="shared" si="32"/>
        <v>-601</v>
      </c>
      <c r="G42" t="s">
        <v>90</v>
      </c>
      <c r="N42">
        <f t="shared" si="31"/>
        <v>-601</v>
      </c>
      <c r="O42">
        <f t="shared" si="29"/>
        <v>-601</v>
      </c>
      <c r="P42">
        <f t="shared" si="29"/>
        <v>-601</v>
      </c>
      <c r="Q42">
        <f t="shared" si="29"/>
        <v>601</v>
      </c>
      <c r="R42">
        <f t="shared" si="29"/>
        <v>601</v>
      </c>
    </row>
    <row r="43" spans="1:18" ht="20.25" customHeight="1" x14ac:dyDescent="0.2">
      <c r="A43" s="42"/>
      <c r="B43" s="5">
        <f t="shared" ref="B43:E43" si="33">B33*$H33</f>
        <v>729</v>
      </c>
      <c r="C43" s="5">
        <f t="shared" si="33"/>
        <v>729</v>
      </c>
      <c r="D43" s="5">
        <f t="shared" si="33"/>
        <v>729</v>
      </c>
      <c r="E43" s="5">
        <f t="shared" si="33"/>
        <v>729</v>
      </c>
      <c r="G43" t="s">
        <v>89</v>
      </c>
      <c r="H43" t="s">
        <v>91</v>
      </c>
      <c r="I43">
        <v>4</v>
      </c>
      <c r="N43">
        <f t="shared" si="31"/>
        <v>729</v>
      </c>
      <c r="O43">
        <f t="shared" si="29"/>
        <v>729</v>
      </c>
      <c r="P43">
        <f t="shared" si="29"/>
        <v>729</v>
      </c>
      <c r="Q43">
        <f t="shared" si="29"/>
        <v>729</v>
      </c>
      <c r="R43">
        <f t="shared" si="29"/>
        <v>729</v>
      </c>
    </row>
    <row r="44" spans="1:18" ht="20.25" customHeight="1" x14ac:dyDescent="0.2">
      <c r="A44" s="43"/>
      <c r="B44" s="5">
        <f>SUM(B36:B43)</f>
        <v>-508</v>
      </c>
      <c r="C44" s="5">
        <f t="shared" ref="C44:E44" si="34">SUM(C36:C43)</f>
        <v>16</v>
      </c>
      <c r="D44" s="5">
        <f t="shared" si="34"/>
        <v>46</v>
      </c>
      <c r="E44" s="5">
        <f t="shared" si="34"/>
        <v>1162</v>
      </c>
      <c r="M44" t="s">
        <v>93</v>
      </c>
      <c r="N44">
        <f>SUM(N36:N43)</f>
        <v>-40</v>
      </c>
      <c r="O44">
        <f t="shared" ref="O44:R44" si="35">SUM(O36:O43)</f>
        <v>-40</v>
      </c>
      <c r="P44">
        <f t="shared" si="35"/>
        <v>-102</v>
      </c>
      <c r="Q44">
        <f t="shared" si="35"/>
        <v>-790</v>
      </c>
      <c r="R44">
        <f t="shared" si="35"/>
        <v>46</v>
      </c>
    </row>
    <row r="45" spans="1:18" ht="20.25" customHeight="1" x14ac:dyDescent="0.2">
      <c r="A45" s="30" t="s">
        <v>23</v>
      </c>
      <c r="B45" s="5">
        <f>B44/(1*2^(4-1-1))</f>
        <v>-127</v>
      </c>
      <c r="C45" s="5">
        <f>C44/(1*2^(4-1-1))</f>
        <v>4</v>
      </c>
      <c r="D45" s="5">
        <f>D44/(1*2^(4-1-1))</f>
        <v>11.5</v>
      </c>
      <c r="E45" s="5">
        <f>E44/(1*2^(4-1-1))</f>
        <v>290.5</v>
      </c>
      <c r="M45" t="s">
        <v>94</v>
      </c>
      <c r="N45">
        <f>N44/(1*2^(4-1-1))</f>
        <v>-10</v>
      </c>
      <c r="O45">
        <f t="shared" ref="O45:R45" si="36">O44/(1*2^(4-1-1))</f>
        <v>-10</v>
      </c>
      <c r="P45">
        <f t="shared" si="36"/>
        <v>-25.5</v>
      </c>
      <c r="Q45">
        <f t="shared" si="36"/>
        <v>-197.5</v>
      </c>
      <c r="R45">
        <f t="shared" si="36"/>
        <v>11.5</v>
      </c>
    </row>
    <row r="47" spans="1:18" ht="20.25" customHeight="1" x14ac:dyDescent="0.2">
      <c r="A47" s="32" t="s">
        <v>69</v>
      </c>
      <c r="B47" s="31">
        <f>N45</f>
        <v>-10</v>
      </c>
    </row>
    <row r="48" spans="1:18" ht="20.25" customHeight="1" x14ac:dyDescent="0.2">
      <c r="A48" s="32" t="s">
        <v>70</v>
      </c>
      <c r="B48" s="31">
        <f>O45</f>
        <v>-10</v>
      </c>
    </row>
    <row r="49" spans="1:2" ht="20.25" customHeight="1" x14ac:dyDescent="0.2">
      <c r="A49" s="32" t="s">
        <v>71</v>
      </c>
      <c r="B49" s="31">
        <f>P45</f>
        <v>-25.5</v>
      </c>
    </row>
    <row r="50" spans="1:2" ht="20.25" customHeight="1" x14ac:dyDescent="0.2">
      <c r="A50" s="32" t="s">
        <v>66</v>
      </c>
      <c r="B50" s="31">
        <f>Q45</f>
        <v>-197.5</v>
      </c>
    </row>
    <row r="51" spans="1:2" ht="20.25" customHeight="1" x14ac:dyDescent="0.2">
      <c r="A51" s="32" t="s">
        <v>65</v>
      </c>
      <c r="B51" s="31">
        <f>R45</f>
        <v>11.5</v>
      </c>
    </row>
  </sheetData>
  <mergeCells count="12">
    <mergeCell ref="F28:G28"/>
    <mergeCell ref="A6:A7"/>
    <mergeCell ref="B6:Q6"/>
    <mergeCell ref="F25:G25"/>
    <mergeCell ref="F26:G26"/>
    <mergeCell ref="F27:G27"/>
    <mergeCell ref="A35:A44"/>
    <mergeCell ref="F29:G29"/>
    <mergeCell ref="F30:G30"/>
    <mergeCell ref="F31:G31"/>
    <mergeCell ref="F32:G32"/>
    <mergeCell ref="F33:G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Roughness</vt:lpstr>
      <vt:lpstr>Plasma-1</vt:lpstr>
      <vt:lpstr>Plasma-2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2022-07-07T14:21:33Z</dcterms:created>
  <dcterms:modified xsi:type="dcterms:W3CDTF">2026-07-13T19:17:19Z</dcterms:modified>
</cp:coreProperties>
</file>