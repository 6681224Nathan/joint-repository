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excel files/"/>
    </mc:Choice>
  </mc:AlternateContent>
  <xr:revisionPtr revIDLastSave="0" documentId="13_ncr:1_{54A06726-0E47-1F44-8BB3-463EB2C2282F}" xr6:coauthVersionLast="47" xr6:coauthVersionMax="47" xr10:uidLastSave="{00000000-0000-0000-0000-000000000000}"/>
  <bookViews>
    <workbookView xWindow="0" yWindow="600" windowWidth="20480" windowHeight="11040" activeTab="1" xr2:uid="{03B4F964-AA62-42B4-B9BD-0893A8980E7C}"/>
  </bookViews>
  <sheets>
    <sheet name="Plasma-2" sheetId="6" r:id="rId1"/>
    <sheet name="InjectionMolding" sheetId="3" r:id="rId2"/>
    <sheet name="InjectionMolding practice" sheetId="7" r:id="rId3"/>
    <sheet name="Shrinkage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7" l="1"/>
  <c r="L48" i="7"/>
  <c r="J48" i="7"/>
  <c r="C48" i="7"/>
  <c r="D48" i="7"/>
  <c r="E48" i="7"/>
  <c r="F48" i="7"/>
  <c r="G48" i="7"/>
  <c r="B48" i="7"/>
  <c r="B50" i="7" s="1"/>
  <c r="K47" i="7"/>
  <c r="L47" i="7"/>
  <c r="J47" i="7"/>
  <c r="J32" i="7"/>
  <c r="K32" i="7"/>
  <c r="L32" i="7"/>
  <c r="J33" i="7"/>
  <c r="K33" i="7"/>
  <c r="L33" i="7"/>
  <c r="J34" i="7"/>
  <c r="K34" i="7"/>
  <c r="L34" i="7"/>
  <c r="J35" i="7"/>
  <c r="K35" i="7"/>
  <c r="L35" i="7"/>
  <c r="J36" i="7"/>
  <c r="K36" i="7"/>
  <c r="L36" i="7"/>
  <c r="J37" i="7"/>
  <c r="K37" i="7"/>
  <c r="L37" i="7"/>
  <c r="J38" i="7"/>
  <c r="K38" i="7"/>
  <c r="L38" i="7"/>
  <c r="J39" i="7"/>
  <c r="K39" i="7"/>
  <c r="L39" i="7"/>
  <c r="J40" i="7"/>
  <c r="K40" i="7"/>
  <c r="L40" i="7"/>
  <c r="J41" i="7"/>
  <c r="K41" i="7"/>
  <c r="L41" i="7"/>
  <c r="J42" i="7"/>
  <c r="K42" i="7"/>
  <c r="L42" i="7"/>
  <c r="J43" i="7"/>
  <c r="K43" i="7"/>
  <c r="L43" i="7"/>
  <c r="J44" i="7"/>
  <c r="K44" i="7"/>
  <c r="L44" i="7"/>
  <c r="J45" i="7"/>
  <c r="K45" i="7"/>
  <c r="L45" i="7"/>
  <c r="J46" i="7"/>
  <c r="K46" i="7"/>
  <c r="L46" i="7"/>
  <c r="K31" i="7"/>
  <c r="L31" i="7"/>
  <c r="J31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L13" i="7"/>
  <c r="K13" i="7"/>
  <c r="J13" i="7"/>
  <c r="D47" i="7"/>
  <c r="E47" i="7"/>
  <c r="F47" i="7"/>
  <c r="G47" i="7"/>
  <c r="C47" i="7"/>
  <c r="B47" i="7"/>
  <c r="B32" i="7"/>
  <c r="C32" i="7"/>
  <c r="D32" i="7"/>
  <c r="E32" i="7"/>
  <c r="F32" i="7"/>
  <c r="G32" i="7"/>
  <c r="B33" i="7"/>
  <c r="C33" i="7"/>
  <c r="D33" i="7"/>
  <c r="E33" i="7"/>
  <c r="F33" i="7"/>
  <c r="G33" i="7"/>
  <c r="B34" i="7"/>
  <c r="C34" i="7"/>
  <c r="D34" i="7"/>
  <c r="E34" i="7"/>
  <c r="F34" i="7"/>
  <c r="G34" i="7"/>
  <c r="B35" i="7"/>
  <c r="C35" i="7"/>
  <c r="D35" i="7"/>
  <c r="E35" i="7"/>
  <c r="F35" i="7"/>
  <c r="G35" i="7"/>
  <c r="B36" i="7"/>
  <c r="C36" i="7"/>
  <c r="D36" i="7"/>
  <c r="E36" i="7"/>
  <c r="F36" i="7"/>
  <c r="G36" i="7"/>
  <c r="B37" i="7"/>
  <c r="C37" i="7"/>
  <c r="D37" i="7"/>
  <c r="E37" i="7"/>
  <c r="F37" i="7"/>
  <c r="G37" i="7"/>
  <c r="B38" i="7"/>
  <c r="C38" i="7"/>
  <c r="D38" i="7"/>
  <c r="E38" i="7"/>
  <c r="F38" i="7"/>
  <c r="G38" i="7"/>
  <c r="B39" i="7"/>
  <c r="C39" i="7"/>
  <c r="D39" i="7"/>
  <c r="E39" i="7"/>
  <c r="F39" i="7"/>
  <c r="G39" i="7"/>
  <c r="B40" i="7"/>
  <c r="C40" i="7"/>
  <c r="D40" i="7"/>
  <c r="E40" i="7"/>
  <c r="F40" i="7"/>
  <c r="G40" i="7"/>
  <c r="B41" i="7"/>
  <c r="C41" i="7"/>
  <c r="D41" i="7"/>
  <c r="E41" i="7"/>
  <c r="F41" i="7"/>
  <c r="G41" i="7"/>
  <c r="B42" i="7"/>
  <c r="C42" i="7"/>
  <c r="D42" i="7"/>
  <c r="E42" i="7"/>
  <c r="F42" i="7"/>
  <c r="G42" i="7"/>
  <c r="B43" i="7"/>
  <c r="C43" i="7"/>
  <c r="D43" i="7"/>
  <c r="E43" i="7"/>
  <c r="F43" i="7"/>
  <c r="G43" i="7"/>
  <c r="B44" i="7"/>
  <c r="C44" i="7"/>
  <c r="D44" i="7"/>
  <c r="E44" i="7"/>
  <c r="F44" i="7"/>
  <c r="G44" i="7"/>
  <c r="B45" i="7"/>
  <c r="C45" i="7"/>
  <c r="D45" i="7"/>
  <c r="E45" i="7"/>
  <c r="F45" i="7"/>
  <c r="G45" i="7"/>
  <c r="B46" i="7"/>
  <c r="C46" i="7"/>
  <c r="D46" i="7"/>
  <c r="E46" i="7"/>
  <c r="F46" i="7"/>
  <c r="G46" i="7"/>
  <c r="G31" i="7"/>
  <c r="C31" i="7"/>
  <c r="D31" i="7"/>
  <c r="E31" i="7"/>
  <c r="F31" i="7"/>
  <c r="B31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G13" i="7"/>
  <c r="F13" i="7"/>
  <c r="B48" i="3"/>
  <c r="B53" i="3"/>
  <c r="B52" i="3"/>
  <c r="B51" i="3"/>
  <c r="B50" i="3"/>
  <c r="K48" i="3"/>
  <c r="L48" i="3"/>
  <c r="J48" i="3"/>
  <c r="K47" i="3"/>
  <c r="L47" i="3"/>
  <c r="J47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K31" i="3"/>
  <c r="L31" i="3"/>
  <c r="J31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L13" i="3"/>
  <c r="K13" i="3"/>
  <c r="J13" i="3"/>
  <c r="G48" i="3"/>
  <c r="C48" i="3"/>
  <c r="D48" i="3"/>
  <c r="E48" i="3"/>
  <c r="F48" i="3"/>
  <c r="C47" i="3"/>
  <c r="D47" i="3"/>
  <c r="E47" i="3"/>
  <c r="F47" i="3"/>
  <c r="G47" i="3"/>
  <c r="B47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31" i="3"/>
  <c r="D31" i="3"/>
  <c r="E31" i="3"/>
  <c r="F31" i="3"/>
  <c r="G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31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13" i="3"/>
  <c r="B51" i="7" l="1"/>
  <c r="B52" i="7" l="1"/>
  <c r="B53" i="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<sst xmlns="http://schemas.openxmlformats.org/spreadsheetml/2006/main" count="171" uniqueCount="83">
  <si>
    <t>Factorial Effect</t>
  </si>
  <si>
    <t>A</t>
  </si>
  <si>
    <t>B</t>
  </si>
  <si>
    <t>C</t>
  </si>
  <si>
    <t>Contrast</t>
  </si>
  <si>
    <t>Effect</t>
  </si>
  <si>
    <t>D</t>
  </si>
  <si>
    <t>A = temperature</t>
  </si>
  <si>
    <t>B = screw speed</t>
  </si>
  <si>
    <t>C = holding time</t>
  </si>
  <si>
    <t>D = cycle time</t>
  </si>
  <si>
    <t>E = gate size</t>
  </si>
  <si>
    <t>F = holding pressure</t>
  </si>
  <si>
    <t>Use 16-run two-level fractional factorial design</t>
  </si>
  <si>
    <t>I = ABCE</t>
  </si>
  <si>
    <t>I = BCDF</t>
  </si>
  <si>
    <t>E = ABC</t>
  </si>
  <si>
    <t>F = BCD</t>
  </si>
  <si>
    <t>I = ADEF</t>
  </si>
  <si>
    <t>E=ABC</t>
  </si>
  <si>
    <t>F=BCD</t>
  </si>
  <si>
    <t>Observed Shrinkage</t>
  </si>
  <si>
    <t>Run</t>
  </si>
  <si>
    <t xml:space="preserve">Effect(A) = </t>
  </si>
  <si>
    <t xml:space="preserve">Effect(AB) = </t>
  </si>
  <si>
    <t xml:space="preserve">Effect(CE) = </t>
  </si>
  <si>
    <t xml:space="preserve">Effect(BCE) = </t>
  </si>
  <si>
    <t>Experiment</t>
  </si>
  <si>
    <t>E</t>
  </si>
  <si>
    <t>F</t>
  </si>
  <si>
    <t>G</t>
  </si>
  <si>
    <t>y</t>
  </si>
  <si>
    <t>A = gap</t>
  </si>
  <si>
    <t>B = pressure</t>
  </si>
  <si>
    <t>C = C2F6 flow rate</t>
  </si>
  <si>
    <t>D = power setting</t>
  </si>
  <si>
    <t>Treatment Combination</t>
  </si>
  <si>
    <t>I</t>
  </si>
  <si>
    <t>AB</t>
  </si>
  <si>
    <t>AC</t>
  </si>
  <si>
    <t>AD</t>
  </si>
  <si>
    <t>BC</t>
  </si>
  <si>
    <t>BD</t>
  </si>
  <si>
    <t>CD</t>
  </si>
  <si>
    <t>ABC</t>
  </si>
  <si>
    <t>ABD</t>
  </si>
  <si>
    <t>ACD</t>
  </si>
  <si>
    <t>BCD</t>
  </si>
  <si>
    <t>ABCD</t>
  </si>
  <si>
    <t>a</t>
  </si>
  <si>
    <t>b</t>
  </si>
  <si>
    <t>ab</t>
  </si>
  <si>
    <t>c</t>
  </si>
  <si>
    <t>ac</t>
  </si>
  <si>
    <t>bc</t>
  </si>
  <si>
    <t>abc</t>
  </si>
  <si>
    <t>d</t>
  </si>
  <si>
    <t>ad</t>
  </si>
  <si>
    <t>bd</t>
  </si>
  <si>
    <t>abd</t>
  </si>
  <si>
    <t>cd</t>
  </si>
  <si>
    <t>acd</t>
  </si>
  <si>
    <t>bcd</t>
  </si>
  <si>
    <t>abcd</t>
  </si>
  <si>
    <t>I = ABCD</t>
  </si>
  <si>
    <t>D=ABC</t>
  </si>
  <si>
    <t>Etch Rate</t>
  </si>
  <si>
    <t>Effect of AB =</t>
  </si>
  <si>
    <t>Effect of CD =</t>
  </si>
  <si>
    <t>Effect of AC =</t>
  </si>
  <si>
    <t>Effect of AD =</t>
  </si>
  <si>
    <t>Effect of ABD =</t>
  </si>
  <si>
    <t>Ab</t>
  </si>
  <si>
    <t>CE</t>
  </si>
  <si>
    <t>BCE</t>
  </si>
  <si>
    <t>contrast</t>
  </si>
  <si>
    <t>effect</t>
  </si>
  <si>
    <t>Finding effect, combining sign highlow with test value</t>
  </si>
  <si>
    <t>Minus one because we use 1/2 formula, reduced no. of variables</t>
  </si>
  <si>
    <t>2^(k-1-1)</t>
  </si>
  <si>
    <t>2^(4-1-1)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</si>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</sst>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E2EFDA"/>
        <bgColor rgb="FF000000"/>
      </patternFill>
    </fill>
  </fills>
  <borders count="18">
    <border>
      <left/>
      <right/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/>
      <diagonal/>
    </border>
    <border>
      <left style="thin">
        <color rgb="FF2F75B5"/>
      </left>
      <right style="thin">
        <color rgb="FF2F75B5"/>
      </right>
      <top/>
      <bottom style="thin">
        <color rgb="FF2F75B5"/>
      </bottom>
      <diagonal/>
    </border>
    <border>
      <left/>
      <right style="thin">
        <color rgb="FF2F75B5"/>
      </right>
      <top style="thin">
        <color rgb="FF2F75B5"/>
      </top>
      <bottom style="thin">
        <color rgb="FF2F75B5"/>
      </bottom>
      <diagonal/>
    </border>
    <border>
      <left/>
      <right/>
      <top style="thin">
        <color rgb="FF2F75B5"/>
      </top>
      <bottom style="thin">
        <color rgb="FF2F75B5"/>
      </bottom>
      <diagonal/>
    </border>
    <border>
      <left/>
      <right style="thin">
        <color rgb="FF2F75B5"/>
      </right>
      <top/>
      <bottom style="thin">
        <color rgb="FF2F75B5"/>
      </bottom>
      <diagonal/>
    </border>
    <border>
      <left/>
      <right style="thin">
        <color rgb="FF2F75B5"/>
      </right>
      <top/>
      <bottom/>
      <diagonal/>
    </border>
    <border>
      <left style="thin">
        <color rgb="FF2F75B5"/>
      </left>
      <right style="thin">
        <color rgb="FF2F75B5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2F75B5"/>
      </left>
      <right/>
      <top style="thin">
        <color rgb="FF2F75B5"/>
      </top>
      <bottom style="thin">
        <color rgb="FF2F75B5"/>
      </bottom>
      <diagonal/>
    </border>
    <border>
      <left style="thin">
        <color rgb="FF2F75B5"/>
      </left>
      <right/>
      <top/>
      <bottom style="thin">
        <color rgb="FF2F75B5"/>
      </bottom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quotePrefix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2" fillId="0" borderId="1" xfId="0" applyFont="1" applyBorder="1" applyAlignment="1">
      <alignment horizontal="right"/>
    </xf>
    <xf numFmtId="0" fontId="2" fillId="0" borderId="0" xfId="0" applyFont="1"/>
    <xf numFmtId="0" fontId="1" fillId="2" borderId="1" xfId="0" applyFont="1" applyFill="1" applyBorder="1" applyAlignment="1">
      <alignment horizontal="left" wrapText="1"/>
    </xf>
    <xf numFmtId="164" fontId="0" fillId="3" borderId="1" xfId="0" applyNumberForma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0" xfId="0" applyFont="1"/>
    <xf numFmtId="0" fontId="4" fillId="5" borderId="9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6" borderId="9" xfId="0" applyFont="1" applyFill="1" applyBorder="1" applyAlignment="1">
      <alignment horizontal="center" wrapText="1"/>
    </xf>
    <xf numFmtId="0" fontId="5" fillId="0" borderId="0" xfId="0" applyFont="1" applyAlignment="1">
      <alignment horizontal="left" wrapText="1"/>
    </xf>
    <xf numFmtId="0" fontId="4" fillId="5" borderId="4" xfId="0" applyFont="1" applyFill="1" applyBorder="1" applyAlignment="1">
      <alignment horizontal="center" wrapText="1"/>
    </xf>
    <xf numFmtId="0" fontId="4" fillId="5" borderId="7" xfId="0" applyFont="1" applyFill="1" applyBorder="1" applyAlignment="1">
      <alignment horizontal="center" wrapText="1"/>
    </xf>
    <xf numFmtId="0" fontId="4" fillId="5" borderId="10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6" fillId="0" borderId="6" xfId="0" applyFont="1" applyBorder="1" applyAlignment="1">
      <alignment horizontal="right"/>
    </xf>
    <xf numFmtId="0" fontId="4" fillId="7" borderId="2" xfId="0" applyFont="1" applyFill="1" applyBorder="1" applyAlignment="1">
      <alignment horizontal="right"/>
    </xf>
    <xf numFmtId="0" fontId="6" fillId="8" borderId="12" xfId="0" applyFont="1" applyFill="1" applyBorder="1"/>
    <xf numFmtId="0" fontId="4" fillId="7" borderId="13" xfId="0" applyFont="1" applyFill="1" applyBorder="1" applyAlignment="1">
      <alignment horizontal="right"/>
    </xf>
    <xf numFmtId="0" fontId="6" fillId="8" borderId="14" xfId="0" applyFont="1" applyFill="1" applyBorder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/>
    </xf>
    <xf numFmtId="0" fontId="0" fillId="0" borderId="1" xfId="0" applyBorder="1"/>
    <xf numFmtId="0" fontId="6" fillId="0" borderId="5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4" fillId="5" borderId="5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 wrapText="1"/>
    </xf>
    <xf numFmtId="0" fontId="4" fillId="5" borderId="15" xfId="0" applyFont="1" applyFill="1" applyBorder="1" applyAlignment="1">
      <alignment horizontal="center" wrapText="1"/>
    </xf>
    <xf numFmtId="0" fontId="4" fillId="5" borderId="8" xfId="0" applyFont="1" applyFill="1" applyBorder="1" applyAlignment="1">
      <alignment horizontal="center" wrapText="1"/>
    </xf>
    <xf numFmtId="0" fontId="4" fillId="5" borderId="7" xfId="0" applyFont="1" applyFill="1" applyBorder="1" applyAlignment="1">
      <alignment horizontal="center" wrapText="1"/>
    </xf>
    <xf numFmtId="0" fontId="4" fillId="5" borderId="16" xfId="0" applyFont="1" applyFill="1" applyBorder="1" applyAlignment="1">
      <alignment horizontal="center" wrapText="1"/>
    </xf>
    <xf numFmtId="0" fontId="4" fillId="5" borderId="9" xfId="0" applyFont="1" applyFill="1" applyBorder="1" applyAlignment="1">
      <alignment horizontal="center" wrapText="1"/>
    </xf>
    <xf numFmtId="0" fontId="3" fillId="6" borderId="15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0" fillId="0" borderId="17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74AF-79C1-45AB-8277-92E99D779813}">
  <dimension ref="A1:R51"/>
  <sheetViews>
    <sheetView topLeftCell="A19" workbookViewId="0">
      <selection activeCell="J58" sqref="J58"/>
    </sheetView>
  </sheetViews>
  <sheetFormatPr baseColWidth="10" defaultColWidth="10.6640625" defaultRowHeight="20.25" customHeight="1" x14ac:dyDescent="0.2"/>
  <cols>
    <col min="1" max="1" width="15.6640625" customWidth="1"/>
    <col min="2" max="17" width="8.6640625" customWidth="1"/>
  </cols>
  <sheetData>
    <row r="1" spans="1:18" ht="20.25" customHeight="1" x14ac:dyDescent="0.2">
      <c r="A1" s="14" t="s">
        <v>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20.25" customHeight="1" x14ac:dyDescent="0.2">
      <c r="A2" s="14" t="s">
        <v>33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0.25" customHeight="1" x14ac:dyDescent="0.2">
      <c r="A3" s="14" t="s">
        <v>34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20.25" customHeight="1" x14ac:dyDescent="0.2">
      <c r="A4" s="14" t="s">
        <v>35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 ht="20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ht="20.25" customHeight="1" x14ac:dyDescent="0.2">
      <c r="A6" s="38" t="s">
        <v>36</v>
      </c>
      <c r="B6" s="40" t="s">
        <v>0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2"/>
      <c r="R6" s="14"/>
    </row>
    <row r="7" spans="1:18" ht="20.25" customHeight="1" x14ac:dyDescent="0.2">
      <c r="A7" s="39"/>
      <c r="B7" s="15" t="s">
        <v>37</v>
      </c>
      <c r="C7" s="15" t="s">
        <v>1</v>
      </c>
      <c r="D7" s="15" t="s">
        <v>2</v>
      </c>
      <c r="E7" s="15" t="s">
        <v>3</v>
      </c>
      <c r="F7" s="15" t="s">
        <v>6</v>
      </c>
      <c r="G7" s="15" t="s">
        <v>38</v>
      </c>
      <c r="H7" s="15" t="s">
        <v>39</v>
      </c>
      <c r="I7" s="15" t="s">
        <v>40</v>
      </c>
      <c r="J7" s="15" t="s">
        <v>41</v>
      </c>
      <c r="K7" s="15" t="s">
        <v>42</v>
      </c>
      <c r="L7" s="15" t="s">
        <v>43</v>
      </c>
      <c r="M7" s="15" t="s">
        <v>44</v>
      </c>
      <c r="N7" s="15" t="s">
        <v>45</v>
      </c>
      <c r="O7" s="15" t="s">
        <v>46</v>
      </c>
      <c r="P7" s="15" t="s">
        <v>47</v>
      </c>
      <c r="Q7" s="15" t="s">
        <v>48</v>
      </c>
      <c r="R7" s="14"/>
    </row>
    <row r="8" spans="1:18" ht="20.25" customHeight="1" x14ac:dyDescent="0.2">
      <c r="A8" s="16">
        <v>-1</v>
      </c>
      <c r="B8" s="17">
        <v>1</v>
      </c>
      <c r="C8" s="17">
        <v>-1</v>
      </c>
      <c r="D8" s="17">
        <v>-1</v>
      </c>
      <c r="E8" s="17">
        <v>-1</v>
      </c>
      <c r="F8" s="17">
        <v>-1</v>
      </c>
      <c r="G8" s="18">
        <v>1</v>
      </c>
      <c r="H8" s="18">
        <v>1</v>
      </c>
      <c r="I8" s="18">
        <v>1</v>
      </c>
      <c r="J8" s="18">
        <v>1</v>
      </c>
      <c r="K8" s="18">
        <v>1</v>
      </c>
      <c r="L8" s="18">
        <v>1</v>
      </c>
      <c r="M8" s="18">
        <v>-1</v>
      </c>
      <c r="N8" s="18">
        <v>-1</v>
      </c>
      <c r="O8" s="18">
        <v>-1</v>
      </c>
      <c r="P8" s="18">
        <v>-1</v>
      </c>
      <c r="Q8" s="18">
        <v>1</v>
      </c>
      <c r="R8" s="14"/>
    </row>
    <row r="9" spans="1:18" ht="20.25" customHeight="1" x14ac:dyDescent="0.2">
      <c r="A9" s="16" t="s">
        <v>49</v>
      </c>
      <c r="B9" s="17">
        <v>1</v>
      </c>
      <c r="C9" s="17">
        <v>1</v>
      </c>
      <c r="D9" s="17">
        <v>-1</v>
      </c>
      <c r="E9" s="17">
        <v>-1</v>
      </c>
      <c r="F9" s="17">
        <v>-1</v>
      </c>
      <c r="G9" s="18">
        <v>-1</v>
      </c>
      <c r="H9" s="18">
        <v>-1</v>
      </c>
      <c r="I9" s="18">
        <v>-1</v>
      </c>
      <c r="J9" s="18">
        <v>1</v>
      </c>
      <c r="K9" s="18">
        <v>1</v>
      </c>
      <c r="L9" s="18">
        <v>1</v>
      </c>
      <c r="M9" s="18">
        <v>1</v>
      </c>
      <c r="N9" s="18">
        <v>1</v>
      </c>
      <c r="O9" s="18">
        <v>1</v>
      </c>
      <c r="P9" s="18">
        <v>-1</v>
      </c>
      <c r="Q9" s="18">
        <v>-1</v>
      </c>
      <c r="R9" s="14"/>
    </row>
    <row r="10" spans="1:18" ht="20.25" customHeight="1" x14ac:dyDescent="0.2">
      <c r="A10" s="16" t="s">
        <v>50</v>
      </c>
      <c r="B10" s="17">
        <v>1</v>
      </c>
      <c r="C10" s="17">
        <v>-1</v>
      </c>
      <c r="D10" s="17">
        <v>1</v>
      </c>
      <c r="E10" s="17">
        <v>-1</v>
      </c>
      <c r="F10" s="17">
        <v>-1</v>
      </c>
      <c r="G10" s="18">
        <v>-1</v>
      </c>
      <c r="H10" s="18">
        <v>1</v>
      </c>
      <c r="I10" s="18">
        <v>1</v>
      </c>
      <c r="J10" s="18">
        <v>-1</v>
      </c>
      <c r="K10" s="18">
        <v>-1</v>
      </c>
      <c r="L10" s="18">
        <v>1</v>
      </c>
      <c r="M10" s="18">
        <v>1</v>
      </c>
      <c r="N10" s="18">
        <v>1</v>
      </c>
      <c r="O10" s="18">
        <v>-1</v>
      </c>
      <c r="P10" s="18">
        <v>1</v>
      </c>
      <c r="Q10" s="18">
        <v>-1</v>
      </c>
      <c r="R10" s="14"/>
    </row>
    <row r="11" spans="1:18" ht="20.25" customHeight="1" x14ac:dyDescent="0.2">
      <c r="A11" s="16" t="s">
        <v>51</v>
      </c>
      <c r="B11" s="17">
        <v>1</v>
      </c>
      <c r="C11" s="17">
        <v>1</v>
      </c>
      <c r="D11" s="17">
        <v>1</v>
      </c>
      <c r="E11" s="17">
        <v>-1</v>
      </c>
      <c r="F11" s="17">
        <v>-1</v>
      </c>
      <c r="G11" s="18">
        <v>1</v>
      </c>
      <c r="H11" s="18">
        <v>-1</v>
      </c>
      <c r="I11" s="18">
        <v>-1</v>
      </c>
      <c r="J11" s="18">
        <v>-1</v>
      </c>
      <c r="K11" s="18">
        <v>-1</v>
      </c>
      <c r="L11" s="18">
        <v>1</v>
      </c>
      <c r="M11" s="18">
        <v>-1</v>
      </c>
      <c r="N11" s="18">
        <v>-1</v>
      </c>
      <c r="O11" s="18">
        <v>1</v>
      </c>
      <c r="P11" s="18">
        <v>1</v>
      </c>
      <c r="Q11" s="18">
        <v>1</v>
      </c>
      <c r="R11" s="14"/>
    </row>
    <row r="12" spans="1:18" ht="20.25" customHeight="1" x14ac:dyDescent="0.2">
      <c r="A12" s="16" t="s">
        <v>52</v>
      </c>
      <c r="B12" s="17">
        <v>1</v>
      </c>
      <c r="C12" s="17">
        <v>-1</v>
      </c>
      <c r="D12" s="17">
        <v>-1</v>
      </c>
      <c r="E12" s="17">
        <v>1</v>
      </c>
      <c r="F12" s="17">
        <v>-1</v>
      </c>
      <c r="G12" s="18">
        <v>1</v>
      </c>
      <c r="H12" s="18">
        <v>-1</v>
      </c>
      <c r="I12" s="18">
        <v>1</v>
      </c>
      <c r="J12" s="18">
        <v>-1</v>
      </c>
      <c r="K12" s="18">
        <v>1</v>
      </c>
      <c r="L12" s="18">
        <v>-1</v>
      </c>
      <c r="M12" s="18">
        <v>1</v>
      </c>
      <c r="N12" s="18">
        <v>-1</v>
      </c>
      <c r="O12" s="18">
        <v>1</v>
      </c>
      <c r="P12" s="18">
        <v>1</v>
      </c>
      <c r="Q12" s="18">
        <v>-1</v>
      </c>
      <c r="R12" s="14"/>
    </row>
    <row r="13" spans="1:18" ht="20.25" customHeight="1" x14ac:dyDescent="0.2">
      <c r="A13" s="16" t="s">
        <v>53</v>
      </c>
      <c r="B13" s="17">
        <v>1</v>
      </c>
      <c r="C13" s="17">
        <v>1</v>
      </c>
      <c r="D13" s="17">
        <v>-1</v>
      </c>
      <c r="E13" s="17">
        <v>1</v>
      </c>
      <c r="F13" s="17">
        <v>-1</v>
      </c>
      <c r="G13" s="18">
        <v>-1</v>
      </c>
      <c r="H13" s="18">
        <v>1</v>
      </c>
      <c r="I13" s="18">
        <v>-1</v>
      </c>
      <c r="J13" s="18">
        <v>-1</v>
      </c>
      <c r="K13" s="18">
        <v>1</v>
      </c>
      <c r="L13" s="18">
        <v>-1</v>
      </c>
      <c r="M13" s="18">
        <v>-1</v>
      </c>
      <c r="N13" s="18">
        <v>1</v>
      </c>
      <c r="O13" s="18">
        <v>-1</v>
      </c>
      <c r="P13" s="18">
        <v>1</v>
      </c>
      <c r="Q13" s="18">
        <v>1</v>
      </c>
      <c r="R13" s="14"/>
    </row>
    <row r="14" spans="1:18" ht="20.25" customHeight="1" x14ac:dyDescent="0.2">
      <c r="A14" s="16" t="s">
        <v>54</v>
      </c>
      <c r="B14" s="17">
        <v>1</v>
      </c>
      <c r="C14" s="17">
        <v>-1</v>
      </c>
      <c r="D14" s="17">
        <v>1</v>
      </c>
      <c r="E14" s="17">
        <v>1</v>
      </c>
      <c r="F14" s="17">
        <v>-1</v>
      </c>
      <c r="G14" s="18">
        <v>-1</v>
      </c>
      <c r="H14" s="18">
        <v>-1</v>
      </c>
      <c r="I14" s="18">
        <v>1</v>
      </c>
      <c r="J14" s="18">
        <v>1</v>
      </c>
      <c r="K14" s="18">
        <v>-1</v>
      </c>
      <c r="L14" s="18">
        <v>-1</v>
      </c>
      <c r="M14" s="18">
        <v>-1</v>
      </c>
      <c r="N14" s="18">
        <v>1</v>
      </c>
      <c r="O14" s="18">
        <v>1</v>
      </c>
      <c r="P14" s="18">
        <v>-1</v>
      </c>
      <c r="Q14" s="18">
        <v>1</v>
      </c>
      <c r="R14" s="14"/>
    </row>
    <row r="15" spans="1:18" ht="20.25" customHeight="1" x14ac:dyDescent="0.2">
      <c r="A15" s="16" t="s">
        <v>55</v>
      </c>
      <c r="B15" s="17">
        <v>1</v>
      </c>
      <c r="C15" s="17">
        <v>1</v>
      </c>
      <c r="D15" s="17">
        <v>1</v>
      </c>
      <c r="E15" s="17">
        <v>1</v>
      </c>
      <c r="F15" s="17">
        <v>-1</v>
      </c>
      <c r="G15" s="18">
        <v>1</v>
      </c>
      <c r="H15" s="18">
        <v>1</v>
      </c>
      <c r="I15" s="18">
        <v>-1</v>
      </c>
      <c r="J15" s="18">
        <v>1</v>
      </c>
      <c r="K15" s="18">
        <v>-1</v>
      </c>
      <c r="L15" s="18">
        <v>-1</v>
      </c>
      <c r="M15" s="18">
        <v>1</v>
      </c>
      <c r="N15" s="18">
        <v>-1</v>
      </c>
      <c r="O15" s="18">
        <v>-1</v>
      </c>
      <c r="P15" s="18">
        <v>-1</v>
      </c>
      <c r="Q15" s="18">
        <v>-1</v>
      </c>
      <c r="R15" s="14"/>
    </row>
    <row r="16" spans="1:18" ht="20.25" customHeight="1" x14ac:dyDescent="0.2">
      <c r="A16" s="16" t="s">
        <v>56</v>
      </c>
      <c r="B16" s="17">
        <v>1</v>
      </c>
      <c r="C16" s="17">
        <v>-1</v>
      </c>
      <c r="D16" s="17">
        <v>-1</v>
      </c>
      <c r="E16" s="17">
        <v>-1</v>
      </c>
      <c r="F16" s="17">
        <v>1</v>
      </c>
      <c r="G16" s="18">
        <v>1</v>
      </c>
      <c r="H16" s="18">
        <v>1</v>
      </c>
      <c r="I16" s="18">
        <v>-1</v>
      </c>
      <c r="J16" s="18">
        <v>1</v>
      </c>
      <c r="K16" s="18">
        <v>-1</v>
      </c>
      <c r="L16" s="18">
        <v>-1</v>
      </c>
      <c r="M16" s="18">
        <v>-1</v>
      </c>
      <c r="N16" s="18">
        <v>1</v>
      </c>
      <c r="O16" s="18">
        <v>1</v>
      </c>
      <c r="P16" s="18">
        <v>1</v>
      </c>
      <c r="Q16" s="18">
        <v>-1</v>
      </c>
      <c r="R16" s="14"/>
    </row>
    <row r="17" spans="1:18" ht="20.25" customHeight="1" x14ac:dyDescent="0.2">
      <c r="A17" s="16" t="s">
        <v>57</v>
      </c>
      <c r="B17" s="17">
        <v>1</v>
      </c>
      <c r="C17" s="17">
        <v>1</v>
      </c>
      <c r="D17" s="17">
        <v>-1</v>
      </c>
      <c r="E17" s="17">
        <v>-1</v>
      </c>
      <c r="F17" s="17">
        <v>1</v>
      </c>
      <c r="G17" s="18">
        <v>-1</v>
      </c>
      <c r="H17" s="18">
        <v>-1</v>
      </c>
      <c r="I17" s="18">
        <v>1</v>
      </c>
      <c r="J17" s="18">
        <v>1</v>
      </c>
      <c r="K17" s="18">
        <v>-1</v>
      </c>
      <c r="L17" s="18">
        <v>-1</v>
      </c>
      <c r="M17" s="18">
        <v>1</v>
      </c>
      <c r="N17" s="18">
        <v>-1</v>
      </c>
      <c r="O17" s="18">
        <v>-1</v>
      </c>
      <c r="P17" s="18">
        <v>1</v>
      </c>
      <c r="Q17" s="18">
        <v>1</v>
      </c>
      <c r="R17" s="14"/>
    </row>
    <row r="18" spans="1:18" ht="20.25" customHeight="1" x14ac:dyDescent="0.2">
      <c r="A18" s="16" t="s">
        <v>58</v>
      </c>
      <c r="B18" s="17">
        <v>1</v>
      </c>
      <c r="C18" s="17">
        <v>-1</v>
      </c>
      <c r="D18" s="17">
        <v>1</v>
      </c>
      <c r="E18" s="17">
        <v>-1</v>
      </c>
      <c r="F18" s="17">
        <v>1</v>
      </c>
      <c r="G18" s="18">
        <v>-1</v>
      </c>
      <c r="H18" s="18">
        <v>1</v>
      </c>
      <c r="I18" s="18">
        <v>-1</v>
      </c>
      <c r="J18" s="18">
        <v>-1</v>
      </c>
      <c r="K18" s="18">
        <v>1</v>
      </c>
      <c r="L18" s="18">
        <v>-1</v>
      </c>
      <c r="M18" s="18">
        <v>1</v>
      </c>
      <c r="N18" s="18">
        <v>-1</v>
      </c>
      <c r="O18" s="18">
        <v>1</v>
      </c>
      <c r="P18" s="18">
        <v>-1</v>
      </c>
      <c r="Q18" s="18">
        <v>1</v>
      </c>
      <c r="R18" s="14"/>
    </row>
    <row r="19" spans="1:18" ht="20.25" customHeight="1" x14ac:dyDescent="0.2">
      <c r="A19" s="16" t="s">
        <v>59</v>
      </c>
      <c r="B19" s="17">
        <v>1</v>
      </c>
      <c r="C19" s="17">
        <v>1</v>
      </c>
      <c r="D19" s="17">
        <v>1</v>
      </c>
      <c r="E19" s="17">
        <v>-1</v>
      </c>
      <c r="F19" s="17">
        <v>1</v>
      </c>
      <c r="G19" s="18">
        <v>1</v>
      </c>
      <c r="H19" s="18">
        <v>-1</v>
      </c>
      <c r="I19" s="18">
        <v>1</v>
      </c>
      <c r="J19" s="18">
        <v>-1</v>
      </c>
      <c r="K19" s="18">
        <v>1</v>
      </c>
      <c r="L19" s="18">
        <v>-1</v>
      </c>
      <c r="M19" s="18">
        <v>-1</v>
      </c>
      <c r="N19" s="18">
        <v>1</v>
      </c>
      <c r="O19" s="18">
        <v>-1</v>
      </c>
      <c r="P19" s="18">
        <v>-1</v>
      </c>
      <c r="Q19" s="18">
        <v>-1</v>
      </c>
      <c r="R19" s="14"/>
    </row>
    <row r="20" spans="1:18" ht="20.25" customHeight="1" x14ac:dyDescent="0.2">
      <c r="A20" s="16" t="s">
        <v>60</v>
      </c>
      <c r="B20" s="17">
        <v>1</v>
      </c>
      <c r="C20" s="17">
        <v>-1</v>
      </c>
      <c r="D20" s="17">
        <v>-1</v>
      </c>
      <c r="E20" s="17">
        <v>1</v>
      </c>
      <c r="F20" s="17">
        <v>1</v>
      </c>
      <c r="G20" s="18">
        <v>1</v>
      </c>
      <c r="H20" s="18">
        <v>-1</v>
      </c>
      <c r="I20" s="18">
        <v>-1</v>
      </c>
      <c r="J20" s="18">
        <v>-1</v>
      </c>
      <c r="K20" s="18">
        <v>-1</v>
      </c>
      <c r="L20" s="18">
        <v>1</v>
      </c>
      <c r="M20" s="18">
        <v>1</v>
      </c>
      <c r="N20" s="18">
        <v>1</v>
      </c>
      <c r="O20" s="18">
        <v>-1</v>
      </c>
      <c r="P20" s="18">
        <v>-1</v>
      </c>
      <c r="Q20" s="18">
        <v>1</v>
      </c>
      <c r="R20" s="14"/>
    </row>
    <row r="21" spans="1:18" ht="20.25" customHeight="1" x14ac:dyDescent="0.2">
      <c r="A21" s="16" t="s">
        <v>61</v>
      </c>
      <c r="B21" s="17">
        <v>1</v>
      </c>
      <c r="C21" s="17">
        <v>1</v>
      </c>
      <c r="D21" s="17">
        <v>-1</v>
      </c>
      <c r="E21" s="17">
        <v>1</v>
      </c>
      <c r="F21" s="17">
        <v>1</v>
      </c>
      <c r="G21" s="18">
        <v>-1</v>
      </c>
      <c r="H21" s="18">
        <v>1</v>
      </c>
      <c r="I21" s="18">
        <v>1</v>
      </c>
      <c r="J21" s="18">
        <v>-1</v>
      </c>
      <c r="K21" s="18">
        <v>-1</v>
      </c>
      <c r="L21" s="18">
        <v>1</v>
      </c>
      <c r="M21" s="18">
        <v>-1</v>
      </c>
      <c r="N21" s="18">
        <v>-1</v>
      </c>
      <c r="O21" s="18">
        <v>1</v>
      </c>
      <c r="P21" s="18">
        <v>-1</v>
      </c>
      <c r="Q21" s="18">
        <v>-1</v>
      </c>
      <c r="R21" s="14"/>
    </row>
    <row r="22" spans="1:18" ht="20.25" customHeight="1" x14ac:dyDescent="0.2">
      <c r="A22" s="16" t="s">
        <v>62</v>
      </c>
      <c r="B22" s="17">
        <v>1</v>
      </c>
      <c r="C22" s="17">
        <v>-1</v>
      </c>
      <c r="D22" s="17">
        <v>1</v>
      </c>
      <c r="E22" s="17">
        <v>1</v>
      </c>
      <c r="F22" s="17">
        <v>1</v>
      </c>
      <c r="G22" s="18">
        <v>-1</v>
      </c>
      <c r="H22" s="18">
        <v>-1</v>
      </c>
      <c r="I22" s="18">
        <v>-1</v>
      </c>
      <c r="J22" s="18">
        <v>1</v>
      </c>
      <c r="K22" s="18">
        <v>1</v>
      </c>
      <c r="L22" s="18">
        <v>1</v>
      </c>
      <c r="M22" s="18">
        <v>-1</v>
      </c>
      <c r="N22" s="18">
        <v>-1</v>
      </c>
      <c r="O22" s="18">
        <v>-1</v>
      </c>
      <c r="P22" s="18">
        <v>1</v>
      </c>
      <c r="Q22" s="18">
        <v>-1</v>
      </c>
      <c r="R22" s="14"/>
    </row>
    <row r="23" spans="1:18" ht="20.25" customHeight="1" x14ac:dyDescent="0.2">
      <c r="A23" s="16" t="s">
        <v>63</v>
      </c>
      <c r="B23" s="17">
        <v>1</v>
      </c>
      <c r="C23" s="17">
        <v>1</v>
      </c>
      <c r="D23" s="17">
        <v>1</v>
      </c>
      <c r="E23" s="17">
        <v>1</v>
      </c>
      <c r="F23" s="17">
        <v>1</v>
      </c>
      <c r="G23" s="18">
        <v>1</v>
      </c>
      <c r="H23" s="18">
        <v>1</v>
      </c>
      <c r="I23" s="18">
        <v>1</v>
      </c>
      <c r="J23" s="18">
        <v>1</v>
      </c>
      <c r="K23" s="18">
        <v>1</v>
      </c>
      <c r="L23" s="18">
        <v>1</v>
      </c>
      <c r="M23" s="18">
        <v>1</v>
      </c>
      <c r="N23" s="18">
        <v>1</v>
      </c>
      <c r="O23" s="18">
        <v>1</v>
      </c>
      <c r="P23" s="18">
        <v>1</v>
      </c>
      <c r="Q23" s="18">
        <v>1</v>
      </c>
      <c r="R23" s="14"/>
    </row>
    <row r="24" spans="1:18" ht="20.2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1:18" ht="40" customHeight="1" x14ac:dyDescent="0.2">
      <c r="A25" s="19" t="s">
        <v>64</v>
      </c>
      <c r="B25" s="20" t="s">
        <v>1</v>
      </c>
      <c r="C25" s="21" t="s">
        <v>2</v>
      </c>
      <c r="D25" s="21" t="s">
        <v>3</v>
      </c>
      <c r="E25" s="22" t="s">
        <v>65</v>
      </c>
      <c r="F25" s="43" t="s">
        <v>36</v>
      </c>
      <c r="G25" s="44"/>
      <c r="H25" s="20" t="s">
        <v>66</v>
      </c>
      <c r="I25" s="14"/>
      <c r="J25" s="14"/>
      <c r="K25" s="14" t="s">
        <v>72</v>
      </c>
      <c r="L25" s="14" t="s">
        <v>60</v>
      </c>
      <c r="M25" s="14" t="s">
        <v>53</v>
      </c>
      <c r="N25" s="14" t="s">
        <v>57</v>
      </c>
      <c r="O25" s="14" t="s">
        <v>59</v>
      </c>
      <c r="P25" s="14"/>
      <c r="Q25" s="14"/>
      <c r="R25" s="14"/>
    </row>
    <row r="26" spans="1:18" ht="20.25" customHeight="1" x14ac:dyDescent="0.2">
      <c r="A26" s="14"/>
      <c r="B26" s="16">
        <v>-1</v>
      </c>
      <c r="C26" s="17">
        <v>-1</v>
      </c>
      <c r="D26" s="17">
        <v>-1</v>
      </c>
      <c r="E26" s="23">
        <v>-1</v>
      </c>
      <c r="F26" s="45">
        <v>-1</v>
      </c>
      <c r="G26" s="46"/>
      <c r="H26" s="17">
        <v>550</v>
      </c>
      <c r="I26" s="14"/>
      <c r="J26" s="14"/>
      <c r="K26" s="14">
        <v>1</v>
      </c>
      <c r="L26" s="14">
        <v>1</v>
      </c>
      <c r="M26" s="14">
        <v>1</v>
      </c>
      <c r="N26" s="14">
        <v>1</v>
      </c>
      <c r="O26" s="14">
        <v>-1</v>
      </c>
      <c r="P26" s="14"/>
      <c r="Q26" s="14"/>
      <c r="R26" s="14"/>
    </row>
    <row r="27" spans="1:18" ht="20.25" customHeight="1" x14ac:dyDescent="0.2">
      <c r="A27" s="14"/>
      <c r="B27" s="16">
        <v>1</v>
      </c>
      <c r="C27" s="17">
        <v>-1</v>
      </c>
      <c r="D27" s="17">
        <v>-1</v>
      </c>
      <c r="E27" s="24">
        <v>1</v>
      </c>
      <c r="F27" s="45" t="s">
        <v>57</v>
      </c>
      <c r="G27" s="46"/>
      <c r="H27" s="17">
        <v>749</v>
      </c>
      <c r="I27" s="14"/>
      <c r="J27" s="14"/>
      <c r="K27" s="14">
        <v>-1</v>
      </c>
      <c r="L27" s="14">
        <v>-1</v>
      </c>
      <c r="M27" s="14">
        <v>-1</v>
      </c>
      <c r="N27" s="14">
        <v>1</v>
      </c>
      <c r="O27" s="14">
        <v>-1</v>
      </c>
      <c r="P27" s="14"/>
      <c r="Q27" s="14"/>
      <c r="R27" s="14"/>
    </row>
    <row r="28" spans="1:18" ht="20.25" customHeight="1" x14ac:dyDescent="0.2">
      <c r="A28" s="14"/>
      <c r="B28" s="16">
        <v>-1</v>
      </c>
      <c r="C28" s="17">
        <v>1</v>
      </c>
      <c r="D28" s="17">
        <v>-1</v>
      </c>
      <c r="E28" s="24">
        <v>1</v>
      </c>
      <c r="F28" s="45" t="s">
        <v>58</v>
      </c>
      <c r="G28" s="46"/>
      <c r="H28" s="17">
        <v>1052</v>
      </c>
      <c r="I28" s="14"/>
      <c r="J28" s="14"/>
      <c r="K28" s="14">
        <v>-1</v>
      </c>
      <c r="L28" s="14">
        <v>-1</v>
      </c>
      <c r="M28" s="14">
        <v>1</v>
      </c>
      <c r="N28" s="14">
        <v>-1</v>
      </c>
      <c r="O28" s="14">
        <v>-1</v>
      </c>
      <c r="P28" s="14"/>
      <c r="Q28" s="14"/>
      <c r="R28" s="14"/>
    </row>
    <row r="29" spans="1:18" ht="20.25" customHeight="1" x14ac:dyDescent="0.2">
      <c r="A29" s="14"/>
      <c r="B29" s="16">
        <v>1</v>
      </c>
      <c r="C29" s="17">
        <v>1</v>
      </c>
      <c r="D29" s="17">
        <v>-1</v>
      </c>
      <c r="E29" s="24">
        <v>-1</v>
      </c>
      <c r="F29" s="45" t="s">
        <v>51</v>
      </c>
      <c r="G29" s="46"/>
      <c r="H29" s="17">
        <v>650</v>
      </c>
      <c r="I29" s="14"/>
      <c r="J29" s="14"/>
      <c r="K29" s="14">
        <v>1</v>
      </c>
      <c r="L29" s="14">
        <v>1</v>
      </c>
      <c r="M29" s="14">
        <v>-1</v>
      </c>
      <c r="N29" s="14">
        <v>-1</v>
      </c>
      <c r="O29" s="14">
        <v>-1</v>
      </c>
      <c r="P29" s="14"/>
      <c r="Q29" s="14"/>
      <c r="R29" s="14"/>
    </row>
    <row r="30" spans="1:18" ht="20.25" customHeight="1" x14ac:dyDescent="0.2">
      <c r="A30" s="14"/>
      <c r="B30" s="16">
        <v>-1</v>
      </c>
      <c r="C30" s="17">
        <v>-1</v>
      </c>
      <c r="D30" s="17">
        <v>1</v>
      </c>
      <c r="E30" s="24">
        <v>1</v>
      </c>
      <c r="F30" s="45" t="s">
        <v>60</v>
      </c>
      <c r="G30" s="46"/>
      <c r="H30" s="17">
        <v>1075</v>
      </c>
      <c r="I30" s="14"/>
      <c r="J30" s="14"/>
      <c r="K30" s="14">
        <v>1</v>
      </c>
      <c r="L30" s="14">
        <v>1</v>
      </c>
      <c r="M30" s="14">
        <v>-1</v>
      </c>
      <c r="N30" s="14">
        <v>-1</v>
      </c>
      <c r="O30" s="14">
        <v>1</v>
      </c>
      <c r="P30" s="14"/>
      <c r="Q30" s="14"/>
      <c r="R30" s="14"/>
    </row>
    <row r="31" spans="1:18" ht="20.25" customHeight="1" x14ac:dyDescent="0.2">
      <c r="A31" s="14"/>
      <c r="B31" s="16">
        <v>1</v>
      </c>
      <c r="C31" s="17">
        <v>-1</v>
      </c>
      <c r="D31" s="17">
        <v>1</v>
      </c>
      <c r="E31" s="24">
        <v>-1</v>
      </c>
      <c r="F31" s="45" t="s">
        <v>53</v>
      </c>
      <c r="G31" s="46"/>
      <c r="H31" s="17">
        <v>642</v>
      </c>
      <c r="I31" s="14"/>
      <c r="J31" s="14"/>
      <c r="K31" s="14">
        <v>-1</v>
      </c>
      <c r="L31" s="14">
        <v>-1</v>
      </c>
      <c r="M31" s="14">
        <v>1</v>
      </c>
      <c r="N31" s="14">
        <v>-1</v>
      </c>
      <c r="O31" s="14">
        <v>1</v>
      </c>
      <c r="P31" s="14"/>
      <c r="Q31" s="14"/>
      <c r="R31" s="14"/>
    </row>
    <row r="32" spans="1:18" ht="20.25" customHeight="1" x14ac:dyDescent="0.2">
      <c r="A32" s="14"/>
      <c r="B32" s="16">
        <v>-1</v>
      </c>
      <c r="C32" s="17">
        <v>1</v>
      </c>
      <c r="D32" s="17">
        <v>1</v>
      </c>
      <c r="E32" s="24">
        <v>-1</v>
      </c>
      <c r="F32" s="45" t="s">
        <v>54</v>
      </c>
      <c r="G32" s="46"/>
      <c r="H32" s="17">
        <v>601</v>
      </c>
      <c r="I32" s="14"/>
      <c r="J32" s="14"/>
      <c r="K32" s="14">
        <v>-1</v>
      </c>
      <c r="L32" s="14">
        <v>-1</v>
      </c>
      <c r="M32" s="14">
        <v>-1</v>
      </c>
      <c r="N32" s="14">
        <v>1</v>
      </c>
      <c r="O32" s="14">
        <v>1</v>
      </c>
      <c r="P32" s="14"/>
      <c r="Q32" s="14"/>
      <c r="R32" s="14"/>
    </row>
    <row r="33" spans="1:18" ht="20.25" customHeight="1" x14ac:dyDescent="0.2">
      <c r="A33" s="14"/>
      <c r="B33" s="16">
        <v>1</v>
      </c>
      <c r="C33" s="17">
        <v>1</v>
      </c>
      <c r="D33" s="17">
        <v>1</v>
      </c>
      <c r="E33" s="24">
        <v>1</v>
      </c>
      <c r="F33" s="45" t="s">
        <v>63</v>
      </c>
      <c r="G33" s="46"/>
      <c r="H33" s="17">
        <v>729</v>
      </c>
      <c r="I33" s="14"/>
      <c r="J33" s="14"/>
      <c r="K33" s="14">
        <v>1</v>
      </c>
      <c r="L33" s="14">
        <v>1</v>
      </c>
      <c r="M33" s="14">
        <v>1</v>
      </c>
      <c r="N33" s="14">
        <v>1</v>
      </c>
      <c r="O33" s="14">
        <v>1</v>
      </c>
      <c r="P33" s="14"/>
      <c r="Q33" s="14"/>
      <c r="R33" s="14"/>
    </row>
    <row r="34" spans="1:18" ht="20.2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25"/>
      <c r="L34" s="14"/>
      <c r="M34" s="14"/>
      <c r="N34" s="14"/>
      <c r="O34" s="14"/>
      <c r="P34" s="14"/>
      <c r="Q34" s="14"/>
      <c r="R34" s="14"/>
    </row>
    <row r="35" spans="1:18" ht="20.25" customHeight="1" x14ac:dyDescent="0.2">
      <c r="A35" s="35" t="s">
        <v>4</v>
      </c>
      <c r="B35" s="21" t="s">
        <v>1</v>
      </c>
      <c r="C35" s="21" t="s">
        <v>2</v>
      </c>
      <c r="D35" s="21" t="s">
        <v>3</v>
      </c>
      <c r="E35" s="21" t="s">
        <v>65</v>
      </c>
      <c r="F35" s="22" t="s">
        <v>77</v>
      </c>
      <c r="G35" s="14"/>
      <c r="H35" s="14"/>
      <c r="I35" s="14"/>
      <c r="J35" s="14"/>
      <c r="K35" s="26"/>
      <c r="L35" s="14"/>
      <c r="M35" s="14"/>
      <c r="N35" s="14" t="s">
        <v>51</v>
      </c>
      <c r="O35" s="14" t="s">
        <v>60</v>
      </c>
      <c r="P35" s="14" t="s">
        <v>53</v>
      </c>
      <c r="Q35" s="14" t="s">
        <v>57</v>
      </c>
      <c r="R35" s="14" t="s">
        <v>59</v>
      </c>
    </row>
    <row r="36" spans="1:18" ht="20.25" customHeight="1" x14ac:dyDescent="0.2">
      <c r="A36" s="36"/>
      <c r="B36" s="17">
        <v>-550</v>
      </c>
      <c r="C36" s="17">
        <v>-550</v>
      </c>
      <c r="D36" s="17">
        <v>-550</v>
      </c>
      <c r="E36" s="17">
        <v>-550</v>
      </c>
      <c r="F36" s="14"/>
      <c r="G36" s="14" t="e" vm="1">
        <v>#VALUE!</v>
      </c>
      <c r="H36" s="14"/>
      <c r="I36" s="14"/>
      <c r="J36" s="14"/>
      <c r="K36" s="26"/>
      <c r="L36" s="14"/>
      <c r="M36" s="14"/>
      <c r="N36" s="14">
        <v>550</v>
      </c>
      <c r="O36" s="14">
        <v>550</v>
      </c>
      <c r="P36" s="14">
        <v>550</v>
      </c>
      <c r="Q36" s="14">
        <v>550</v>
      </c>
      <c r="R36" s="14">
        <v>-550</v>
      </c>
    </row>
    <row r="37" spans="1:18" ht="20.25" customHeight="1" x14ac:dyDescent="0.2">
      <c r="A37" s="36"/>
      <c r="B37" s="17">
        <v>749</v>
      </c>
      <c r="C37" s="17">
        <v>-749</v>
      </c>
      <c r="D37" s="17">
        <v>-749</v>
      </c>
      <c r="E37" s="17">
        <v>749</v>
      </c>
      <c r="F37" s="14"/>
      <c r="G37" s="14"/>
      <c r="H37" s="14"/>
      <c r="I37" s="14"/>
      <c r="J37" s="14"/>
      <c r="K37" s="14"/>
      <c r="L37" s="14"/>
      <c r="M37" s="14"/>
      <c r="N37" s="14">
        <v>-749</v>
      </c>
      <c r="O37" s="14">
        <v>-749</v>
      </c>
      <c r="P37" s="14">
        <v>-749</v>
      </c>
      <c r="Q37" s="14">
        <v>749</v>
      </c>
      <c r="R37" s="14">
        <v>-749</v>
      </c>
    </row>
    <row r="38" spans="1:18" ht="20.25" customHeight="1" x14ac:dyDescent="0.2">
      <c r="A38" s="36"/>
      <c r="B38" s="17">
        <v>-1052</v>
      </c>
      <c r="C38" s="17">
        <v>1052</v>
      </c>
      <c r="D38" s="17">
        <v>-1052</v>
      </c>
      <c r="E38" s="17">
        <v>1052</v>
      </c>
      <c r="F38" s="14"/>
      <c r="G38" s="14"/>
      <c r="H38" s="14"/>
      <c r="I38" s="14"/>
      <c r="J38" s="14"/>
      <c r="K38" s="14"/>
      <c r="L38" s="14"/>
      <c r="M38" s="14"/>
      <c r="N38" s="14">
        <v>-1052</v>
      </c>
      <c r="O38" s="14">
        <v>-1052</v>
      </c>
      <c r="P38" s="14">
        <v>1052</v>
      </c>
      <c r="Q38" s="14">
        <v>-1052</v>
      </c>
      <c r="R38" s="14">
        <v>-1052</v>
      </c>
    </row>
    <row r="39" spans="1:18" ht="20.25" customHeight="1" x14ac:dyDescent="0.2">
      <c r="A39" s="36"/>
      <c r="B39" s="17">
        <v>650</v>
      </c>
      <c r="C39" s="17">
        <v>650</v>
      </c>
      <c r="D39" s="17">
        <v>-650</v>
      </c>
      <c r="E39" s="17">
        <v>-650</v>
      </c>
      <c r="F39" s="14"/>
      <c r="G39" s="14"/>
      <c r="H39" s="14"/>
      <c r="I39" s="14"/>
      <c r="J39" s="14"/>
      <c r="K39" s="14"/>
      <c r="L39" s="14"/>
      <c r="M39" s="14"/>
      <c r="N39" s="14">
        <v>650</v>
      </c>
      <c r="O39" s="14">
        <v>650</v>
      </c>
      <c r="P39" s="14">
        <v>-650</v>
      </c>
      <c r="Q39" s="14">
        <v>-650</v>
      </c>
      <c r="R39" s="14">
        <v>-650</v>
      </c>
    </row>
    <row r="40" spans="1:18" ht="20.25" customHeight="1" x14ac:dyDescent="0.2">
      <c r="A40" s="36"/>
      <c r="B40" s="17">
        <v>-1075</v>
      </c>
      <c r="C40" s="17">
        <v>-1075</v>
      </c>
      <c r="D40" s="17">
        <v>1075</v>
      </c>
      <c r="E40" s="17">
        <v>1075</v>
      </c>
      <c r="F40" s="14"/>
      <c r="G40" s="14"/>
      <c r="H40" s="14"/>
      <c r="I40" s="14"/>
      <c r="J40" s="14"/>
      <c r="K40" s="14"/>
      <c r="L40" s="14"/>
      <c r="M40" s="14"/>
      <c r="N40" s="14">
        <v>1075</v>
      </c>
      <c r="O40" s="14">
        <v>1075</v>
      </c>
      <c r="P40" s="14">
        <v>-1075</v>
      </c>
      <c r="Q40" s="14">
        <v>-1075</v>
      </c>
      <c r="R40" s="14">
        <v>1075</v>
      </c>
    </row>
    <row r="41" spans="1:18" ht="20.25" customHeight="1" x14ac:dyDescent="0.2">
      <c r="A41" s="36"/>
      <c r="B41" s="17">
        <v>642</v>
      </c>
      <c r="C41" s="17">
        <v>-642</v>
      </c>
      <c r="D41" s="17">
        <v>642</v>
      </c>
      <c r="E41" s="17">
        <v>-642</v>
      </c>
      <c r="F41" s="14"/>
      <c r="G41" s="14"/>
      <c r="H41" s="14"/>
      <c r="I41" s="14"/>
      <c r="J41" s="14"/>
      <c r="K41" s="14"/>
      <c r="L41" s="14"/>
      <c r="M41" s="14"/>
      <c r="N41" s="14">
        <v>-642</v>
      </c>
      <c r="O41" s="14">
        <v>-642</v>
      </c>
      <c r="P41" s="14">
        <v>642</v>
      </c>
      <c r="Q41" s="14">
        <v>-642</v>
      </c>
      <c r="R41" s="14">
        <v>642</v>
      </c>
    </row>
    <row r="42" spans="1:18" ht="20.25" customHeight="1" x14ac:dyDescent="0.2">
      <c r="A42" s="36"/>
      <c r="B42" s="17">
        <v>-601</v>
      </c>
      <c r="C42" s="17">
        <v>601</v>
      </c>
      <c r="D42" s="17">
        <v>601</v>
      </c>
      <c r="E42" s="17">
        <v>-601</v>
      </c>
      <c r="F42" s="14"/>
      <c r="G42" s="14" t="s">
        <v>78</v>
      </c>
      <c r="H42" s="14"/>
      <c r="I42" s="14"/>
      <c r="J42" s="14"/>
      <c r="K42" s="14"/>
      <c r="L42" s="14"/>
      <c r="M42" s="14"/>
      <c r="N42" s="14">
        <v>-601</v>
      </c>
      <c r="O42" s="14">
        <v>-601</v>
      </c>
      <c r="P42" s="14">
        <v>-601</v>
      </c>
      <c r="Q42" s="14">
        <v>601</v>
      </c>
      <c r="R42" s="14">
        <v>601</v>
      </c>
    </row>
    <row r="43" spans="1:18" ht="20.25" customHeight="1" x14ac:dyDescent="0.2">
      <c r="A43" s="36"/>
      <c r="B43" s="17">
        <v>729</v>
      </c>
      <c r="C43" s="17">
        <v>729</v>
      </c>
      <c r="D43" s="17">
        <v>729</v>
      </c>
      <c r="E43" s="17">
        <v>729</v>
      </c>
      <c r="F43" s="14"/>
      <c r="G43" s="14" t="s">
        <v>79</v>
      </c>
      <c r="H43" s="14" t="s">
        <v>80</v>
      </c>
      <c r="I43" s="14">
        <v>4</v>
      </c>
      <c r="J43" s="14"/>
      <c r="K43" s="14"/>
      <c r="L43" s="14"/>
      <c r="M43" s="14"/>
      <c r="N43" s="14">
        <v>729</v>
      </c>
      <c r="O43" s="14">
        <v>729</v>
      </c>
      <c r="P43" s="14">
        <v>729</v>
      </c>
      <c r="Q43" s="14">
        <v>729</v>
      </c>
      <c r="R43" s="14">
        <v>729</v>
      </c>
    </row>
    <row r="44" spans="1:18" ht="20.25" customHeight="1" x14ac:dyDescent="0.2">
      <c r="A44" s="37"/>
      <c r="B44" s="17">
        <v>-508</v>
      </c>
      <c r="C44" s="17">
        <v>16</v>
      </c>
      <c r="D44" s="17">
        <v>46</v>
      </c>
      <c r="E44" s="17">
        <v>1162</v>
      </c>
      <c r="F44" s="14"/>
      <c r="G44" s="14"/>
      <c r="H44" s="14"/>
      <c r="I44" s="14"/>
      <c r="J44" s="14"/>
      <c r="K44" s="14"/>
      <c r="L44" s="14"/>
      <c r="M44" s="14" t="s">
        <v>75</v>
      </c>
      <c r="N44" s="14">
        <v>-40</v>
      </c>
      <c r="O44" s="14">
        <v>-40</v>
      </c>
      <c r="P44" s="14">
        <v>-102</v>
      </c>
      <c r="Q44" s="14">
        <v>-790</v>
      </c>
      <c r="R44" s="14">
        <v>46</v>
      </c>
    </row>
    <row r="45" spans="1:18" ht="20.25" customHeight="1" x14ac:dyDescent="0.2">
      <c r="A45" s="27" t="s">
        <v>5</v>
      </c>
      <c r="B45" s="17">
        <v>-127</v>
      </c>
      <c r="C45" s="17">
        <v>4</v>
      </c>
      <c r="D45" s="17">
        <v>11.5</v>
      </c>
      <c r="E45" s="17">
        <v>290.5</v>
      </c>
      <c r="F45" s="14"/>
      <c r="G45" s="14"/>
      <c r="H45" s="14"/>
      <c r="I45" s="14"/>
      <c r="J45" s="14"/>
      <c r="K45" s="14"/>
      <c r="L45" s="14"/>
      <c r="M45" s="14" t="s">
        <v>76</v>
      </c>
      <c r="N45" s="14">
        <v>-10</v>
      </c>
      <c r="O45" s="14">
        <v>-10</v>
      </c>
      <c r="P45" s="14">
        <v>-25.5</v>
      </c>
      <c r="Q45" s="14">
        <v>-197.5</v>
      </c>
      <c r="R45" s="14">
        <v>11.5</v>
      </c>
    </row>
    <row r="46" spans="1:18" ht="20.2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</row>
    <row r="47" spans="1:18" ht="20.25" customHeight="1" x14ac:dyDescent="0.2">
      <c r="A47" s="28" t="s">
        <v>67</v>
      </c>
      <c r="B47" s="29">
        <v>-10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spans="1:18" ht="20.25" customHeight="1" x14ac:dyDescent="0.2">
      <c r="A48" s="30" t="s">
        <v>68</v>
      </c>
      <c r="B48" s="31">
        <v>-10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</row>
    <row r="49" spans="1:18" ht="20.25" customHeight="1" x14ac:dyDescent="0.2">
      <c r="A49" s="30" t="s">
        <v>69</v>
      </c>
      <c r="B49" s="31">
        <v>-25.5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1:18" ht="20.25" customHeight="1" x14ac:dyDescent="0.2">
      <c r="A50" s="30" t="s">
        <v>70</v>
      </c>
      <c r="B50" s="31">
        <v>-197.5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</row>
    <row r="51" spans="1:18" ht="20.25" customHeight="1" x14ac:dyDescent="0.2">
      <c r="A51" s="30" t="s">
        <v>71</v>
      </c>
      <c r="B51" s="31">
        <v>11.5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</row>
  </sheetData>
  <mergeCells count="12">
    <mergeCell ref="A35:A44"/>
    <mergeCell ref="A6:A7"/>
    <mergeCell ref="B6:Q6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3662-7619-43E3-BE58-59D0328B8355}">
  <dimension ref="A1:L53"/>
  <sheetViews>
    <sheetView tabSelected="1" topLeftCell="A43" zoomScale="125" workbookViewId="0">
      <selection activeCell="B48" sqref="B48"/>
    </sheetView>
  </sheetViews>
  <sheetFormatPr baseColWidth="10" defaultColWidth="10.6640625" defaultRowHeight="20" customHeight="1" x14ac:dyDescent="0.2"/>
  <cols>
    <col min="1" max="1" width="15.6640625" customWidth="1"/>
    <col min="2" max="8" width="10.6640625" customWidth="1"/>
  </cols>
  <sheetData>
    <row r="1" spans="1:12" ht="20" customHeight="1" x14ac:dyDescent="0.2">
      <c r="A1" t="s">
        <v>7</v>
      </c>
    </row>
    <row r="2" spans="1:12" ht="20" customHeight="1" x14ac:dyDescent="0.2">
      <c r="A2" t="s">
        <v>8</v>
      </c>
    </row>
    <row r="3" spans="1:12" ht="20" customHeight="1" x14ac:dyDescent="0.2">
      <c r="A3" t="s">
        <v>9</v>
      </c>
    </row>
    <row r="4" spans="1:12" ht="20" customHeight="1" x14ac:dyDescent="0.2">
      <c r="A4" t="s">
        <v>10</v>
      </c>
    </row>
    <row r="5" spans="1:12" ht="20" customHeight="1" x14ac:dyDescent="0.2">
      <c r="A5" t="s">
        <v>11</v>
      </c>
    </row>
    <row r="6" spans="1:12" ht="20" customHeight="1" x14ac:dyDescent="0.2">
      <c r="A6" t="s">
        <v>12</v>
      </c>
    </row>
    <row r="8" spans="1:12" ht="20" customHeight="1" x14ac:dyDescent="0.2">
      <c r="A8" t="s">
        <v>13</v>
      </c>
    </row>
    <row r="9" spans="1:12" ht="20" customHeight="1" x14ac:dyDescent="0.2">
      <c r="A9" s="6" t="s">
        <v>14</v>
      </c>
      <c r="B9" t="s">
        <v>16</v>
      </c>
      <c r="C9" t="s">
        <v>18</v>
      </c>
    </row>
    <row r="10" spans="1:12" ht="20" customHeight="1" x14ac:dyDescent="0.2">
      <c r="A10" s="6" t="s">
        <v>15</v>
      </c>
      <c r="B10" t="s">
        <v>17</v>
      </c>
    </row>
    <row r="11" spans="1:12" ht="20" customHeight="1" x14ac:dyDescent="0.2">
      <c r="A11" s="32" t="s">
        <v>22</v>
      </c>
      <c r="B11" s="32" t="s">
        <v>0</v>
      </c>
      <c r="C11" s="32"/>
      <c r="D11" s="32"/>
      <c r="E11" s="32"/>
      <c r="F11" s="32"/>
      <c r="G11" s="32"/>
      <c r="H11" s="32" t="s">
        <v>21</v>
      </c>
    </row>
    <row r="12" spans="1:12" ht="20" customHeight="1" x14ac:dyDescent="0.2">
      <c r="A12" s="32"/>
      <c r="B12" s="1" t="s">
        <v>1</v>
      </c>
      <c r="C12" s="1" t="s">
        <v>2</v>
      </c>
      <c r="D12" s="1" t="s">
        <v>3</v>
      </c>
      <c r="E12" s="1" t="s">
        <v>6</v>
      </c>
      <c r="F12" s="1" t="s">
        <v>19</v>
      </c>
      <c r="G12" s="1" t="s">
        <v>20</v>
      </c>
      <c r="H12" s="32"/>
      <c r="J12" s="12" t="s">
        <v>38</v>
      </c>
      <c r="K12" s="12" t="s">
        <v>73</v>
      </c>
      <c r="L12" s="12" t="s">
        <v>74</v>
      </c>
    </row>
    <row r="13" spans="1:12" ht="20" customHeight="1" x14ac:dyDescent="0.2">
      <c r="A13" s="2">
        <v>1</v>
      </c>
      <c r="B13" s="3">
        <v>-1</v>
      </c>
      <c r="C13" s="3">
        <v>-1</v>
      </c>
      <c r="D13" s="3">
        <v>-1</v>
      </c>
      <c r="E13" s="3">
        <v>-1</v>
      </c>
      <c r="F13" s="4">
        <f>B13*C13*D13</f>
        <v>-1</v>
      </c>
      <c r="G13" s="4">
        <f>C13*D13*E13</f>
        <v>-1</v>
      </c>
      <c r="H13" s="2">
        <v>6</v>
      </c>
      <c r="J13">
        <f>B13*C13</f>
        <v>1</v>
      </c>
      <c r="K13">
        <f>D13*F13</f>
        <v>1</v>
      </c>
      <c r="L13">
        <f>C13*D13*F13</f>
        <v>-1</v>
      </c>
    </row>
    <row r="14" spans="1:12" ht="20" customHeight="1" x14ac:dyDescent="0.2">
      <c r="A14" s="3">
        <v>2</v>
      </c>
      <c r="B14" s="3">
        <v>1</v>
      </c>
      <c r="C14" s="3">
        <v>-1</v>
      </c>
      <c r="D14" s="3">
        <v>-1</v>
      </c>
      <c r="E14" s="3">
        <v>-1</v>
      </c>
      <c r="F14" s="4">
        <f t="shared" ref="F14:F28" si="0">B14*C14*D14</f>
        <v>1</v>
      </c>
      <c r="G14" s="4">
        <f t="shared" ref="G14:G28" si="1">C14*D14*E14</f>
        <v>-1</v>
      </c>
      <c r="H14" s="3">
        <v>10</v>
      </c>
      <c r="J14">
        <f t="shared" ref="J14:J28" si="2">B14*C14</f>
        <v>-1</v>
      </c>
      <c r="K14">
        <f t="shared" ref="K14:K28" si="3">D14*F14</f>
        <v>-1</v>
      </c>
      <c r="L14">
        <f t="shared" ref="L14:L28" si="4">C14*D14*F14</f>
        <v>1</v>
      </c>
    </row>
    <row r="15" spans="1:12" ht="20" customHeight="1" x14ac:dyDescent="0.2">
      <c r="A15" s="2">
        <v>3</v>
      </c>
      <c r="B15" s="3">
        <v>-1</v>
      </c>
      <c r="C15" s="3">
        <v>1</v>
      </c>
      <c r="D15" s="3">
        <v>-1</v>
      </c>
      <c r="E15" s="3">
        <v>-1</v>
      </c>
      <c r="F15" s="4">
        <f t="shared" si="0"/>
        <v>1</v>
      </c>
      <c r="G15" s="4">
        <f t="shared" si="1"/>
        <v>1</v>
      </c>
      <c r="H15" s="3">
        <v>32</v>
      </c>
      <c r="J15">
        <f t="shared" si="2"/>
        <v>-1</v>
      </c>
      <c r="K15">
        <f t="shared" si="3"/>
        <v>-1</v>
      </c>
      <c r="L15">
        <f t="shared" si="4"/>
        <v>-1</v>
      </c>
    </row>
    <row r="16" spans="1:12" ht="20" customHeight="1" x14ac:dyDescent="0.2">
      <c r="A16" s="3">
        <v>4</v>
      </c>
      <c r="B16" s="3">
        <v>1</v>
      </c>
      <c r="C16" s="3">
        <v>1</v>
      </c>
      <c r="D16" s="3">
        <v>-1</v>
      </c>
      <c r="E16" s="3">
        <v>-1</v>
      </c>
      <c r="F16" s="4">
        <f t="shared" si="0"/>
        <v>-1</v>
      </c>
      <c r="G16" s="4">
        <f t="shared" si="1"/>
        <v>1</v>
      </c>
      <c r="H16" s="3">
        <v>30</v>
      </c>
      <c r="J16">
        <f t="shared" si="2"/>
        <v>1</v>
      </c>
      <c r="K16">
        <f t="shared" si="3"/>
        <v>1</v>
      </c>
      <c r="L16">
        <f t="shared" si="4"/>
        <v>1</v>
      </c>
    </row>
    <row r="17" spans="1:12" ht="20" customHeight="1" x14ac:dyDescent="0.2">
      <c r="A17" s="2">
        <v>5</v>
      </c>
      <c r="B17" s="3">
        <v>-1</v>
      </c>
      <c r="C17" s="3">
        <v>-1</v>
      </c>
      <c r="D17" s="3">
        <v>1</v>
      </c>
      <c r="E17" s="3">
        <v>-1</v>
      </c>
      <c r="F17" s="4">
        <f t="shared" si="0"/>
        <v>1</v>
      </c>
      <c r="G17" s="4">
        <f t="shared" si="1"/>
        <v>1</v>
      </c>
      <c r="H17" s="3">
        <v>4</v>
      </c>
      <c r="J17">
        <f t="shared" si="2"/>
        <v>1</v>
      </c>
      <c r="K17">
        <f t="shared" si="3"/>
        <v>1</v>
      </c>
      <c r="L17">
        <f t="shared" si="4"/>
        <v>-1</v>
      </c>
    </row>
    <row r="18" spans="1:12" ht="20" customHeight="1" x14ac:dyDescent="0.2">
      <c r="A18" s="3">
        <v>6</v>
      </c>
      <c r="B18" s="3">
        <v>1</v>
      </c>
      <c r="C18" s="3">
        <v>-1</v>
      </c>
      <c r="D18" s="3">
        <v>1</v>
      </c>
      <c r="E18" s="3">
        <v>-1</v>
      </c>
      <c r="F18" s="4">
        <f t="shared" si="0"/>
        <v>-1</v>
      </c>
      <c r="G18" s="4">
        <f t="shared" si="1"/>
        <v>1</v>
      </c>
      <c r="H18" s="3">
        <v>15</v>
      </c>
      <c r="J18">
        <f t="shared" si="2"/>
        <v>-1</v>
      </c>
      <c r="K18">
        <f t="shared" si="3"/>
        <v>-1</v>
      </c>
      <c r="L18">
        <f t="shared" si="4"/>
        <v>1</v>
      </c>
    </row>
    <row r="19" spans="1:12" ht="20" customHeight="1" x14ac:dyDescent="0.2">
      <c r="A19" s="2">
        <v>7</v>
      </c>
      <c r="B19" s="3">
        <v>-1</v>
      </c>
      <c r="C19" s="3">
        <v>1</v>
      </c>
      <c r="D19" s="3">
        <v>1</v>
      </c>
      <c r="E19" s="3">
        <v>-1</v>
      </c>
      <c r="F19" s="4">
        <f t="shared" si="0"/>
        <v>-1</v>
      </c>
      <c r="G19" s="4">
        <f t="shared" si="1"/>
        <v>-1</v>
      </c>
      <c r="H19" s="3">
        <v>26</v>
      </c>
      <c r="J19">
        <f t="shared" si="2"/>
        <v>-1</v>
      </c>
      <c r="K19">
        <f t="shared" si="3"/>
        <v>-1</v>
      </c>
      <c r="L19">
        <f t="shared" si="4"/>
        <v>-1</v>
      </c>
    </row>
    <row r="20" spans="1:12" ht="20" customHeight="1" x14ac:dyDescent="0.2">
      <c r="A20" s="3">
        <v>8</v>
      </c>
      <c r="B20" s="3">
        <v>1</v>
      </c>
      <c r="C20" s="3">
        <v>1</v>
      </c>
      <c r="D20" s="3">
        <v>1</v>
      </c>
      <c r="E20" s="3">
        <v>-1</v>
      </c>
      <c r="F20" s="4">
        <f t="shared" si="0"/>
        <v>1</v>
      </c>
      <c r="G20" s="4">
        <f t="shared" si="1"/>
        <v>-1</v>
      </c>
      <c r="H20" s="3">
        <v>60</v>
      </c>
      <c r="J20">
        <f t="shared" si="2"/>
        <v>1</v>
      </c>
      <c r="K20">
        <f t="shared" si="3"/>
        <v>1</v>
      </c>
      <c r="L20">
        <f t="shared" si="4"/>
        <v>1</v>
      </c>
    </row>
    <row r="21" spans="1:12" ht="20" customHeight="1" x14ac:dyDescent="0.2">
      <c r="A21" s="2">
        <v>9</v>
      </c>
      <c r="B21" s="3">
        <v>-1</v>
      </c>
      <c r="C21" s="3">
        <v>-1</v>
      </c>
      <c r="D21" s="3">
        <v>-1</v>
      </c>
      <c r="E21" s="3">
        <v>1</v>
      </c>
      <c r="F21" s="4">
        <f t="shared" si="0"/>
        <v>-1</v>
      </c>
      <c r="G21" s="4">
        <f t="shared" si="1"/>
        <v>1</v>
      </c>
      <c r="H21" s="2">
        <v>8</v>
      </c>
      <c r="J21">
        <f t="shared" si="2"/>
        <v>1</v>
      </c>
      <c r="K21">
        <f t="shared" si="3"/>
        <v>1</v>
      </c>
      <c r="L21">
        <f t="shared" si="4"/>
        <v>-1</v>
      </c>
    </row>
    <row r="22" spans="1:12" ht="20" customHeight="1" x14ac:dyDescent="0.2">
      <c r="A22" s="3">
        <v>10</v>
      </c>
      <c r="B22" s="3">
        <v>1</v>
      </c>
      <c r="C22" s="3">
        <v>-1</v>
      </c>
      <c r="D22" s="3">
        <v>-1</v>
      </c>
      <c r="E22" s="3">
        <v>1</v>
      </c>
      <c r="F22" s="4">
        <f t="shared" si="0"/>
        <v>1</v>
      </c>
      <c r="G22" s="4">
        <f t="shared" si="1"/>
        <v>1</v>
      </c>
      <c r="H22" s="3">
        <v>12</v>
      </c>
      <c r="J22">
        <f t="shared" si="2"/>
        <v>-1</v>
      </c>
      <c r="K22">
        <f t="shared" si="3"/>
        <v>-1</v>
      </c>
      <c r="L22">
        <f t="shared" si="4"/>
        <v>1</v>
      </c>
    </row>
    <row r="23" spans="1:12" ht="20" customHeight="1" x14ac:dyDescent="0.2">
      <c r="A23" s="2">
        <v>11</v>
      </c>
      <c r="B23" s="3">
        <v>-1</v>
      </c>
      <c r="C23" s="3">
        <v>1</v>
      </c>
      <c r="D23" s="3">
        <v>-1</v>
      </c>
      <c r="E23" s="3">
        <v>1</v>
      </c>
      <c r="F23" s="4">
        <f t="shared" si="0"/>
        <v>1</v>
      </c>
      <c r="G23" s="4">
        <f t="shared" si="1"/>
        <v>-1</v>
      </c>
      <c r="H23" s="3">
        <v>34</v>
      </c>
      <c r="J23">
        <f t="shared" si="2"/>
        <v>-1</v>
      </c>
      <c r="K23">
        <f t="shared" si="3"/>
        <v>-1</v>
      </c>
      <c r="L23">
        <f t="shared" si="4"/>
        <v>-1</v>
      </c>
    </row>
    <row r="24" spans="1:12" ht="20" customHeight="1" x14ac:dyDescent="0.2">
      <c r="A24" s="3">
        <v>12</v>
      </c>
      <c r="B24" s="3">
        <v>1</v>
      </c>
      <c r="C24" s="3">
        <v>1</v>
      </c>
      <c r="D24" s="3">
        <v>-1</v>
      </c>
      <c r="E24" s="3">
        <v>1</v>
      </c>
      <c r="F24" s="4">
        <f t="shared" si="0"/>
        <v>-1</v>
      </c>
      <c r="G24" s="4">
        <f t="shared" si="1"/>
        <v>-1</v>
      </c>
      <c r="H24" s="3">
        <v>60</v>
      </c>
      <c r="J24">
        <f t="shared" si="2"/>
        <v>1</v>
      </c>
      <c r="K24">
        <f t="shared" si="3"/>
        <v>1</v>
      </c>
      <c r="L24">
        <f t="shared" si="4"/>
        <v>1</v>
      </c>
    </row>
    <row r="25" spans="1:12" ht="20" customHeight="1" x14ac:dyDescent="0.2">
      <c r="A25" s="2">
        <v>13</v>
      </c>
      <c r="B25" s="3">
        <v>-1</v>
      </c>
      <c r="C25" s="3">
        <v>-1</v>
      </c>
      <c r="D25" s="3">
        <v>1</v>
      </c>
      <c r="E25" s="3">
        <v>1</v>
      </c>
      <c r="F25" s="4">
        <f t="shared" si="0"/>
        <v>1</v>
      </c>
      <c r="G25" s="4">
        <f t="shared" si="1"/>
        <v>-1</v>
      </c>
      <c r="H25" s="3">
        <v>16</v>
      </c>
      <c r="J25">
        <f t="shared" si="2"/>
        <v>1</v>
      </c>
      <c r="K25">
        <f t="shared" si="3"/>
        <v>1</v>
      </c>
      <c r="L25">
        <f t="shared" si="4"/>
        <v>-1</v>
      </c>
    </row>
    <row r="26" spans="1:12" ht="20" customHeight="1" x14ac:dyDescent="0.2">
      <c r="A26" s="3">
        <v>14</v>
      </c>
      <c r="B26" s="3">
        <v>1</v>
      </c>
      <c r="C26" s="3">
        <v>-1</v>
      </c>
      <c r="D26" s="3">
        <v>1</v>
      </c>
      <c r="E26" s="3">
        <v>1</v>
      </c>
      <c r="F26" s="4">
        <f t="shared" si="0"/>
        <v>-1</v>
      </c>
      <c r="G26" s="4">
        <f t="shared" si="1"/>
        <v>-1</v>
      </c>
      <c r="H26" s="3">
        <v>5</v>
      </c>
      <c r="J26">
        <f t="shared" si="2"/>
        <v>-1</v>
      </c>
      <c r="K26">
        <f t="shared" si="3"/>
        <v>-1</v>
      </c>
      <c r="L26">
        <f t="shared" si="4"/>
        <v>1</v>
      </c>
    </row>
    <row r="27" spans="1:12" ht="20" customHeight="1" x14ac:dyDescent="0.2">
      <c r="A27" s="2">
        <v>15</v>
      </c>
      <c r="B27" s="3">
        <v>-1</v>
      </c>
      <c r="C27" s="3">
        <v>1</v>
      </c>
      <c r="D27" s="3">
        <v>1</v>
      </c>
      <c r="E27" s="3">
        <v>1</v>
      </c>
      <c r="F27" s="4">
        <f t="shared" si="0"/>
        <v>-1</v>
      </c>
      <c r="G27" s="4">
        <f t="shared" si="1"/>
        <v>1</v>
      </c>
      <c r="H27" s="3">
        <v>37</v>
      </c>
      <c r="J27">
        <f t="shared" si="2"/>
        <v>-1</v>
      </c>
      <c r="K27">
        <f t="shared" si="3"/>
        <v>-1</v>
      </c>
      <c r="L27">
        <f t="shared" si="4"/>
        <v>-1</v>
      </c>
    </row>
    <row r="28" spans="1:12" ht="20" customHeight="1" x14ac:dyDescent="0.2">
      <c r="A28" s="3">
        <v>16</v>
      </c>
      <c r="B28" s="3">
        <v>1</v>
      </c>
      <c r="C28" s="3">
        <v>1</v>
      </c>
      <c r="D28" s="3">
        <v>1</v>
      </c>
      <c r="E28" s="3">
        <v>1</v>
      </c>
      <c r="F28" s="4">
        <f t="shared" si="0"/>
        <v>1</v>
      </c>
      <c r="G28" s="4">
        <f t="shared" si="1"/>
        <v>1</v>
      </c>
      <c r="H28" s="3">
        <v>52</v>
      </c>
      <c r="J28">
        <f t="shared" si="2"/>
        <v>1</v>
      </c>
      <c r="K28">
        <f t="shared" si="3"/>
        <v>1</v>
      </c>
      <c r="L28">
        <f t="shared" si="4"/>
        <v>1</v>
      </c>
    </row>
    <row r="30" spans="1:12" ht="20" customHeight="1" x14ac:dyDescent="0.2">
      <c r="A30" s="33" t="s">
        <v>4</v>
      </c>
      <c r="B30" s="1" t="s">
        <v>1</v>
      </c>
      <c r="C30" s="1" t="s">
        <v>2</v>
      </c>
      <c r="D30" s="1" t="s">
        <v>3</v>
      </c>
      <c r="E30" s="1" t="s">
        <v>6</v>
      </c>
      <c r="F30" s="1" t="s">
        <v>19</v>
      </c>
      <c r="G30" s="1" t="s">
        <v>20</v>
      </c>
      <c r="J30" s="13" t="s">
        <v>38</v>
      </c>
      <c r="K30" s="13" t="s">
        <v>73</v>
      </c>
      <c r="L30" s="13" t="s">
        <v>74</v>
      </c>
    </row>
    <row r="31" spans="1:12" ht="20" customHeight="1" x14ac:dyDescent="0.2">
      <c r="A31" s="33"/>
      <c r="B31" s="3">
        <f>B13*$H13</f>
        <v>-6</v>
      </c>
      <c r="C31" s="3">
        <f t="shared" ref="C31:G31" si="5">C13*$H13</f>
        <v>-6</v>
      </c>
      <c r="D31" s="3">
        <f t="shared" si="5"/>
        <v>-6</v>
      </c>
      <c r="E31" s="3">
        <f t="shared" si="5"/>
        <v>-6</v>
      </c>
      <c r="F31" s="3">
        <f t="shared" si="5"/>
        <v>-6</v>
      </c>
      <c r="G31" s="3">
        <f t="shared" si="5"/>
        <v>-6</v>
      </c>
      <c r="J31">
        <f>J13*$H13</f>
        <v>6</v>
      </c>
      <c r="K31">
        <f t="shared" ref="K31:L31" si="6">K13*$H13</f>
        <v>6</v>
      </c>
      <c r="L31">
        <f t="shared" si="6"/>
        <v>-6</v>
      </c>
    </row>
    <row r="32" spans="1:12" ht="20" customHeight="1" x14ac:dyDescent="0.2">
      <c r="A32" s="33"/>
      <c r="B32" s="3">
        <f t="shared" ref="B32:G46" si="7">B14*$H14</f>
        <v>10</v>
      </c>
      <c r="C32" s="3">
        <f t="shared" si="7"/>
        <v>-10</v>
      </c>
      <c r="D32" s="3">
        <f t="shared" si="7"/>
        <v>-10</v>
      </c>
      <c r="E32" s="3">
        <f t="shared" si="7"/>
        <v>-10</v>
      </c>
      <c r="F32" s="3">
        <f t="shared" si="7"/>
        <v>10</v>
      </c>
      <c r="G32" s="3">
        <f t="shared" si="7"/>
        <v>-10</v>
      </c>
      <c r="J32">
        <f t="shared" ref="J32:L46" si="8">J14*$H14</f>
        <v>-10</v>
      </c>
      <c r="K32">
        <f t="shared" si="8"/>
        <v>-10</v>
      </c>
      <c r="L32">
        <f t="shared" si="8"/>
        <v>10</v>
      </c>
    </row>
    <row r="33" spans="1:12" ht="20" customHeight="1" x14ac:dyDescent="0.2">
      <c r="A33" s="33"/>
      <c r="B33" s="3">
        <f t="shared" si="7"/>
        <v>-32</v>
      </c>
      <c r="C33" s="3">
        <f t="shared" si="7"/>
        <v>32</v>
      </c>
      <c r="D33" s="3">
        <f t="shared" si="7"/>
        <v>-32</v>
      </c>
      <c r="E33" s="3">
        <f t="shared" si="7"/>
        <v>-32</v>
      </c>
      <c r="F33" s="3">
        <f t="shared" si="7"/>
        <v>32</v>
      </c>
      <c r="G33" s="3">
        <f t="shared" si="7"/>
        <v>32</v>
      </c>
      <c r="J33">
        <f t="shared" si="8"/>
        <v>-32</v>
      </c>
      <c r="K33">
        <f t="shared" si="8"/>
        <v>-32</v>
      </c>
      <c r="L33">
        <f t="shared" si="8"/>
        <v>-32</v>
      </c>
    </row>
    <row r="34" spans="1:12" ht="20" customHeight="1" x14ac:dyDescent="0.2">
      <c r="A34" s="33"/>
      <c r="B34" s="3">
        <f t="shared" si="7"/>
        <v>30</v>
      </c>
      <c r="C34" s="3">
        <f t="shared" si="7"/>
        <v>30</v>
      </c>
      <c r="D34" s="3">
        <f t="shared" si="7"/>
        <v>-30</v>
      </c>
      <c r="E34" s="3">
        <f t="shared" si="7"/>
        <v>-30</v>
      </c>
      <c r="F34" s="3">
        <f t="shared" si="7"/>
        <v>-30</v>
      </c>
      <c r="G34" s="3">
        <f t="shared" si="7"/>
        <v>30</v>
      </c>
      <c r="J34">
        <f t="shared" si="8"/>
        <v>30</v>
      </c>
      <c r="K34">
        <f t="shared" si="8"/>
        <v>30</v>
      </c>
      <c r="L34">
        <f t="shared" si="8"/>
        <v>30</v>
      </c>
    </row>
    <row r="35" spans="1:12" ht="20" customHeight="1" x14ac:dyDescent="0.2">
      <c r="A35" s="33"/>
      <c r="B35" s="3">
        <f t="shared" si="7"/>
        <v>-4</v>
      </c>
      <c r="C35" s="3">
        <f t="shared" si="7"/>
        <v>-4</v>
      </c>
      <c r="D35" s="3">
        <f t="shared" si="7"/>
        <v>4</v>
      </c>
      <c r="E35" s="3">
        <f t="shared" si="7"/>
        <v>-4</v>
      </c>
      <c r="F35" s="3">
        <f t="shared" si="7"/>
        <v>4</v>
      </c>
      <c r="G35" s="3">
        <f t="shared" si="7"/>
        <v>4</v>
      </c>
      <c r="J35">
        <f t="shared" si="8"/>
        <v>4</v>
      </c>
      <c r="K35">
        <f t="shared" si="8"/>
        <v>4</v>
      </c>
      <c r="L35">
        <f t="shared" si="8"/>
        <v>-4</v>
      </c>
    </row>
    <row r="36" spans="1:12" ht="20" customHeight="1" x14ac:dyDescent="0.2">
      <c r="A36" s="33"/>
      <c r="B36" s="3">
        <f t="shared" si="7"/>
        <v>15</v>
      </c>
      <c r="C36" s="3">
        <f t="shared" si="7"/>
        <v>-15</v>
      </c>
      <c r="D36" s="3">
        <f t="shared" si="7"/>
        <v>15</v>
      </c>
      <c r="E36" s="3">
        <f t="shared" si="7"/>
        <v>-15</v>
      </c>
      <c r="F36" s="3">
        <f t="shared" si="7"/>
        <v>-15</v>
      </c>
      <c r="G36" s="3">
        <f t="shared" si="7"/>
        <v>15</v>
      </c>
      <c r="J36">
        <f t="shared" si="8"/>
        <v>-15</v>
      </c>
      <c r="K36">
        <f t="shared" si="8"/>
        <v>-15</v>
      </c>
      <c r="L36">
        <f t="shared" si="8"/>
        <v>15</v>
      </c>
    </row>
    <row r="37" spans="1:12" ht="20" customHeight="1" x14ac:dyDescent="0.2">
      <c r="A37" s="33"/>
      <c r="B37" s="3">
        <f t="shared" si="7"/>
        <v>-26</v>
      </c>
      <c r="C37" s="3">
        <f t="shared" si="7"/>
        <v>26</v>
      </c>
      <c r="D37" s="3">
        <f t="shared" si="7"/>
        <v>26</v>
      </c>
      <c r="E37" s="3">
        <f t="shared" si="7"/>
        <v>-26</v>
      </c>
      <c r="F37" s="3">
        <f t="shared" si="7"/>
        <v>-26</v>
      </c>
      <c r="G37" s="3">
        <f t="shared" si="7"/>
        <v>-26</v>
      </c>
      <c r="J37">
        <f t="shared" si="8"/>
        <v>-26</v>
      </c>
      <c r="K37">
        <f t="shared" si="8"/>
        <v>-26</v>
      </c>
      <c r="L37">
        <f t="shared" si="8"/>
        <v>-26</v>
      </c>
    </row>
    <row r="38" spans="1:12" ht="20" customHeight="1" x14ac:dyDescent="0.2">
      <c r="A38" s="33"/>
      <c r="B38" s="3">
        <f t="shared" si="7"/>
        <v>60</v>
      </c>
      <c r="C38" s="3">
        <f t="shared" si="7"/>
        <v>60</v>
      </c>
      <c r="D38" s="3">
        <f t="shared" si="7"/>
        <v>60</v>
      </c>
      <c r="E38" s="3">
        <f t="shared" si="7"/>
        <v>-60</v>
      </c>
      <c r="F38" s="3">
        <f t="shared" si="7"/>
        <v>60</v>
      </c>
      <c r="G38" s="3">
        <f t="shared" si="7"/>
        <v>-60</v>
      </c>
      <c r="J38">
        <f t="shared" si="8"/>
        <v>60</v>
      </c>
      <c r="K38">
        <f t="shared" si="8"/>
        <v>60</v>
      </c>
      <c r="L38">
        <f t="shared" si="8"/>
        <v>60</v>
      </c>
    </row>
    <row r="39" spans="1:12" ht="20" customHeight="1" x14ac:dyDescent="0.2">
      <c r="A39" s="33"/>
      <c r="B39" s="3">
        <f t="shared" si="7"/>
        <v>-8</v>
      </c>
      <c r="C39" s="3">
        <f t="shared" si="7"/>
        <v>-8</v>
      </c>
      <c r="D39" s="3">
        <f t="shared" si="7"/>
        <v>-8</v>
      </c>
      <c r="E39" s="3">
        <f t="shared" si="7"/>
        <v>8</v>
      </c>
      <c r="F39" s="3">
        <f t="shared" si="7"/>
        <v>-8</v>
      </c>
      <c r="G39" s="3">
        <f t="shared" si="7"/>
        <v>8</v>
      </c>
      <c r="J39">
        <f t="shared" si="8"/>
        <v>8</v>
      </c>
      <c r="K39">
        <f t="shared" si="8"/>
        <v>8</v>
      </c>
      <c r="L39">
        <f t="shared" si="8"/>
        <v>-8</v>
      </c>
    </row>
    <row r="40" spans="1:12" ht="20" customHeight="1" x14ac:dyDescent="0.2">
      <c r="A40" s="33"/>
      <c r="B40" s="3">
        <f t="shared" si="7"/>
        <v>12</v>
      </c>
      <c r="C40" s="3">
        <f t="shared" si="7"/>
        <v>-12</v>
      </c>
      <c r="D40" s="3">
        <f t="shared" si="7"/>
        <v>-12</v>
      </c>
      <c r="E40" s="3">
        <f t="shared" si="7"/>
        <v>12</v>
      </c>
      <c r="F40" s="3">
        <f t="shared" si="7"/>
        <v>12</v>
      </c>
      <c r="G40" s="3">
        <f t="shared" si="7"/>
        <v>12</v>
      </c>
      <c r="J40">
        <f t="shared" si="8"/>
        <v>-12</v>
      </c>
      <c r="K40">
        <f t="shared" si="8"/>
        <v>-12</v>
      </c>
      <c r="L40">
        <f t="shared" si="8"/>
        <v>12</v>
      </c>
    </row>
    <row r="41" spans="1:12" ht="20" customHeight="1" x14ac:dyDescent="0.2">
      <c r="A41" s="33"/>
      <c r="B41" s="3">
        <f t="shared" si="7"/>
        <v>-34</v>
      </c>
      <c r="C41" s="3">
        <f t="shared" si="7"/>
        <v>34</v>
      </c>
      <c r="D41" s="3">
        <f t="shared" si="7"/>
        <v>-34</v>
      </c>
      <c r="E41" s="3">
        <f t="shared" si="7"/>
        <v>34</v>
      </c>
      <c r="F41" s="3">
        <f t="shared" si="7"/>
        <v>34</v>
      </c>
      <c r="G41" s="3">
        <f t="shared" si="7"/>
        <v>-34</v>
      </c>
      <c r="J41">
        <f t="shared" si="8"/>
        <v>-34</v>
      </c>
      <c r="K41">
        <f t="shared" si="8"/>
        <v>-34</v>
      </c>
      <c r="L41">
        <f t="shared" si="8"/>
        <v>-34</v>
      </c>
    </row>
    <row r="42" spans="1:12" ht="20" customHeight="1" x14ac:dyDescent="0.2">
      <c r="A42" s="33"/>
      <c r="B42" s="3">
        <f t="shared" si="7"/>
        <v>60</v>
      </c>
      <c r="C42" s="3">
        <f t="shared" si="7"/>
        <v>60</v>
      </c>
      <c r="D42" s="3">
        <f t="shared" si="7"/>
        <v>-60</v>
      </c>
      <c r="E42" s="3">
        <f t="shared" si="7"/>
        <v>60</v>
      </c>
      <c r="F42" s="3">
        <f t="shared" si="7"/>
        <v>-60</v>
      </c>
      <c r="G42" s="3">
        <f t="shared" si="7"/>
        <v>-60</v>
      </c>
      <c r="J42">
        <f t="shared" si="8"/>
        <v>60</v>
      </c>
      <c r="K42">
        <f t="shared" si="8"/>
        <v>60</v>
      </c>
      <c r="L42">
        <f t="shared" si="8"/>
        <v>60</v>
      </c>
    </row>
    <row r="43" spans="1:12" ht="20" customHeight="1" x14ac:dyDescent="0.2">
      <c r="A43" s="33"/>
      <c r="B43" s="3">
        <f t="shared" si="7"/>
        <v>-16</v>
      </c>
      <c r="C43" s="3">
        <f t="shared" si="7"/>
        <v>-16</v>
      </c>
      <c r="D43" s="3">
        <f t="shared" si="7"/>
        <v>16</v>
      </c>
      <c r="E43" s="3">
        <f t="shared" si="7"/>
        <v>16</v>
      </c>
      <c r="F43" s="3">
        <f t="shared" si="7"/>
        <v>16</v>
      </c>
      <c r="G43" s="3">
        <f t="shared" si="7"/>
        <v>-16</v>
      </c>
      <c r="J43">
        <f t="shared" si="8"/>
        <v>16</v>
      </c>
      <c r="K43">
        <f t="shared" si="8"/>
        <v>16</v>
      </c>
      <c r="L43">
        <f t="shared" si="8"/>
        <v>-16</v>
      </c>
    </row>
    <row r="44" spans="1:12" ht="20" customHeight="1" x14ac:dyDescent="0.2">
      <c r="A44" s="33"/>
      <c r="B44" s="3">
        <f t="shared" si="7"/>
        <v>5</v>
      </c>
      <c r="C44" s="3">
        <f t="shared" si="7"/>
        <v>-5</v>
      </c>
      <c r="D44" s="3">
        <f t="shared" si="7"/>
        <v>5</v>
      </c>
      <c r="E44" s="3">
        <f t="shared" si="7"/>
        <v>5</v>
      </c>
      <c r="F44" s="3">
        <f t="shared" si="7"/>
        <v>-5</v>
      </c>
      <c r="G44" s="3">
        <f t="shared" si="7"/>
        <v>-5</v>
      </c>
      <c r="J44">
        <f t="shared" si="8"/>
        <v>-5</v>
      </c>
      <c r="K44">
        <f t="shared" si="8"/>
        <v>-5</v>
      </c>
      <c r="L44">
        <f t="shared" si="8"/>
        <v>5</v>
      </c>
    </row>
    <row r="45" spans="1:12" ht="20" customHeight="1" x14ac:dyDescent="0.2">
      <c r="A45" s="33"/>
      <c r="B45" s="3">
        <f t="shared" si="7"/>
        <v>-37</v>
      </c>
      <c r="C45" s="3">
        <f t="shared" si="7"/>
        <v>37</v>
      </c>
      <c r="D45" s="3">
        <f t="shared" si="7"/>
        <v>37</v>
      </c>
      <c r="E45" s="3">
        <f t="shared" si="7"/>
        <v>37</v>
      </c>
      <c r="F45" s="3">
        <f t="shared" si="7"/>
        <v>-37</v>
      </c>
      <c r="G45" s="3">
        <f t="shared" si="7"/>
        <v>37</v>
      </c>
      <c r="J45">
        <f t="shared" si="8"/>
        <v>-37</v>
      </c>
      <c r="K45">
        <f t="shared" si="8"/>
        <v>-37</v>
      </c>
      <c r="L45">
        <f t="shared" si="8"/>
        <v>-37</v>
      </c>
    </row>
    <row r="46" spans="1:12" ht="20" customHeight="1" x14ac:dyDescent="0.2">
      <c r="A46" s="33"/>
      <c r="B46" s="3">
        <f t="shared" si="7"/>
        <v>52</v>
      </c>
      <c r="C46" s="3">
        <f t="shared" si="7"/>
        <v>52</v>
      </c>
      <c r="D46" s="3">
        <f t="shared" si="7"/>
        <v>52</v>
      </c>
      <c r="E46" s="3">
        <f t="shared" si="7"/>
        <v>52</v>
      </c>
      <c r="F46" s="3">
        <f t="shared" si="7"/>
        <v>52</v>
      </c>
      <c r="G46" s="3">
        <f t="shared" si="7"/>
        <v>52</v>
      </c>
      <c r="J46">
        <f t="shared" si="8"/>
        <v>52</v>
      </c>
      <c r="K46">
        <f t="shared" si="8"/>
        <v>52</v>
      </c>
      <c r="L46">
        <f t="shared" si="8"/>
        <v>52</v>
      </c>
    </row>
    <row r="47" spans="1:12" ht="20" customHeight="1" x14ac:dyDescent="0.2">
      <c r="A47" s="34"/>
      <c r="B47" s="4">
        <f>SUM(B31:B46)</f>
        <v>81</v>
      </c>
      <c r="C47" s="4">
        <f t="shared" ref="C47:G47" si="9">SUM(C31:C46)</f>
        <v>255</v>
      </c>
      <c r="D47" s="4">
        <f t="shared" si="9"/>
        <v>23</v>
      </c>
      <c r="E47" s="4">
        <f t="shared" si="9"/>
        <v>41</v>
      </c>
      <c r="F47" s="4">
        <f t="shared" si="9"/>
        <v>33</v>
      </c>
      <c r="G47" s="4">
        <f t="shared" si="9"/>
        <v>-27</v>
      </c>
      <c r="I47" t="s">
        <v>75</v>
      </c>
      <c r="J47">
        <f>SUM(J31:J46)</f>
        <v>65</v>
      </c>
      <c r="K47">
        <f t="shared" ref="K47:L47" si="10">SUM(K31:K46)</f>
        <v>65</v>
      </c>
      <c r="L47">
        <f t="shared" si="10"/>
        <v>81</v>
      </c>
    </row>
    <row r="48" spans="1:12" ht="20" customHeight="1" x14ac:dyDescent="0.2">
      <c r="A48" s="5" t="s">
        <v>5</v>
      </c>
      <c r="B48" s="4">
        <f>B47/(1*2^(6-1-2))</f>
        <v>10.125</v>
      </c>
      <c r="C48" s="4">
        <f t="shared" ref="C48:F48" si="11">C47/(1*2^(6-1-2))</f>
        <v>31.875</v>
      </c>
      <c r="D48" s="4">
        <f t="shared" si="11"/>
        <v>2.875</v>
      </c>
      <c r="E48" s="4">
        <f t="shared" si="11"/>
        <v>5.125</v>
      </c>
      <c r="F48" s="4">
        <f t="shared" si="11"/>
        <v>4.125</v>
      </c>
      <c r="G48" s="4">
        <f>G47/(1*2^(6-1-2))</f>
        <v>-3.375</v>
      </c>
      <c r="I48" t="s">
        <v>76</v>
      </c>
      <c r="J48">
        <f>J47/(1*2^(6-1-2))</f>
        <v>8.125</v>
      </c>
      <c r="K48">
        <f t="shared" ref="K48:L48" si="12">K47/(1*2^(6-1-2))</f>
        <v>8.125</v>
      </c>
      <c r="L48">
        <f t="shared" si="12"/>
        <v>10.125</v>
      </c>
    </row>
    <row r="50" spans="1:2" ht="20" customHeight="1" x14ac:dyDescent="0.2">
      <c r="A50" s="7" t="s">
        <v>23</v>
      </c>
      <c r="B50" s="8">
        <f>B48</f>
        <v>10.125</v>
      </c>
    </row>
    <row r="51" spans="1:2" ht="20" customHeight="1" x14ac:dyDescent="0.2">
      <c r="A51" s="7" t="s">
        <v>24</v>
      </c>
      <c r="B51" s="8">
        <f>J48</f>
        <v>8.125</v>
      </c>
    </row>
    <row r="52" spans="1:2" ht="20" customHeight="1" x14ac:dyDescent="0.2">
      <c r="A52" s="7" t="s">
        <v>25</v>
      </c>
      <c r="B52" s="8">
        <f>K48</f>
        <v>8.125</v>
      </c>
    </row>
    <row r="53" spans="1:2" ht="20" customHeight="1" x14ac:dyDescent="0.2">
      <c r="A53" s="7" t="s">
        <v>26</v>
      </c>
      <c r="B53" s="8">
        <f>L48</f>
        <v>10.125</v>
      </c>
    </row>
  </sheetData>
  <mergeCells count="4">
    <mergeCell ref="H11:H12"/>
    <mergeCell ref="A30:A47"/>
    <mergeCell ref="A11:A12"/>
    <mergeCell ref="B11:G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8ED9-8F75-934B-B28E-6BE7BE8EECC7}">
  <dimension ref="A1:P53"/>
  <sheetViews>
    <sheetView topLeftCell="A47" zoomScale="138" workbookViewId="0">
      <selection activeCell="J48" sqref="J48:L48"/>
    </sheetView>
  </sheetViews>
  <sheetFormatPr baseColWidth="10" defaultColWidth="10.6640625" defaultRowHeight="20" customHeight="1" x14ac:dyDescent="0.2"/>
  <cols>
    <col min="1" max="1" width="15.6640625" customWidth="1"/>
    <col min="2" max="8" width="10.6640625" customWidth="1"/>
  </cols>
  <sheetData>
    <row r="1" spans="1:12" ht="20" customHeight="1" x14ac:dyDescent="0.2">
      <c r="A1" t="s">
        <v>7</v>
      </c>
    </row>
    <row r="2" spans="1:12" ht="20" customHeight="1" x14ac:dyDescent="0.2">
      <c r="A2" t="s">
        <v>8</v>
      </c>
    </row>
    <row r="3" spans="1:12" ht="20" customHeight="1" x14ac:dyDescent="0.2">
      <c r="A3" t="s">
        <v>9</v>
      </c>
    </row>
    <row r="4" spans="1:12" ht="20" customHeight="1" x14ac:dyDescent="0.2">
      <c r="A4" t="s">
        <v>10</v>
      </c>
    </row>
    <row r="5" spans="1:12" ht="20" customHeight="1" x14ac:dyDescent="0.2">
      <c r="A5" t="s">
        <v>11</v>
      </c>
    </row>
    <row r="6" spans="1:12" ht="20" customHeight="1" x14ac:dyDescent="0.2">
      <c r="A6" t="s">
        <v>12</v>
      </c>
    </row>
    <row r="8" spans="1:12" ht="20" customHeight="1" x14ac:dyDescent="0.2">
      <c r="A8" t="s">
        <v>13</v>
      </c>
    </row>
    <row r="9" spans="1:12" ht="20" customHeight="1" x14ac:dyDescent="0.2">
      <c r="A9" s="6" t="s">
        <v>14</v>
      </c>
      <c r="B9" t="s">
        <v>16</v>
      </c>
      <c r="C9" t="s">
        <v>18</v>
      </c>
    </row>
    <row r="10" spans="1:12" ht="20" customHeight="1" x14ac:dyDescent="0.2">
      <c r="A10" s="6" t="s">
        <v>15</v>
      </c>
      <c r="B10" t="s">
        <v>17</v>
      </c>
    </row>
    <row r="11" spans="1:12" ht="20" customHeight="1" x14ac:dyDescent="0.2">
      <c r="A11" s="32" t="s">
        <v>22</v>
      </c>
      <c r="B11" s="32" t="s">
        <v>0</v>
      </c>
      <c r="C11" s="32"/>
      <c r="D11" s="32"/>
      <c r="E11" s="32"/>
      <c r="F11" s="32"/>
      <c r="G11" s="32"/>
      <c r="H11" s="32" t="s">
        <v>21</v>
      </c>
    </row>
    <row r="12" spans="1:12" ht="20" customHeight="1" x14ac:dyDescent="0.2">
      <c r="A12" s="32"/>
      <c r="B12" s="1" t="s">
        <v>1</v>
      </c>
      <c r="C12" s="1" t="s">
        <v>2</v>
      </c>
      <c r="D12" s="1" t="s">
        <v>3</v>
      </c>
      <c r="E12" s="1" t="s">
        <v>6</v>
      </c>
      <c r="F12" s="1" t="s">
        <v>19</v>
      </c>
      <c r="G12" s="1" t="s">
        <v>20</v>
      </c>
      <c r="H12" s="32"/>
      <c r="J12" s="12" t="s">
        <v>38</v>
      </c>
      <c r="K12" s="12" t="s">
        <v>73</v>
      </c>
      <c r="L12" s="12" t="s">
        <v>74</v>
      </c>
    </row>
    <row r="13" spans="1:12" ht="20" customHeight="1" x14ac:dyDescent="0.2">
      <c r="A13" s="2">
        <v>1</v>
      </c>
      <c r="B13" s="3">
        <v>-1</v>
      </c>
      <c r="C13" s="3">
        <v>-1</v>
      </c>
      <c r="D13" s="3">
        <v>-1</v>
      </c>
      <c r="E13" s="3">
        <v>-1</v>
      </c>
      <c r="F13" s="4">
        <f>B13*C13*D13</f>
        <v>-1</v>
      </c>
      <c r="G13" s="4">
        <f>C13*D13*E13</f>
        <v>-1</v>
      </c>
      <c r="H13" s="2">
        <v>6</v>
      </c>
      <c r="J13">
        <f>B13*C13</f>
        <v>1</v>
      </c>
      <c r="K13">
        <f>D13*F13</f>
        <v>1</v>
      </c>
      <c r="L13">
        <f>C13*D13*F13</f>
        <v>-1</v>
      </c>
    </row>
    <row r="14" spans="1:12" ht="20" customHeight="1" x14ac:dyDescent="0.2">
      <c r="A14" s="3">
        <v>2</v>
      </c>
      <c r="B14" s="3">
        <v>1</v>
      </c>
      <c r="C14" s="3">
        <v>-1</v>
      </c>
      <c r="D14" s="3">
        <v>-1</v>
      </c>
      <c r="E14" s="3">
        <v>-1</v>
      </c>
      <c r="F14" s="4">
        <f t="shared" ref="F14:F28" si="0">B14*C14*D14</f>
        <v>1</v>
      </c>
      <c r="G14" s="4">
        <f t="shared" ref="G14:G28" si="1">C14*D14*E14</f>
        <v>-1</v>
      </c>
      <c r="H14" s="3">
        <v>10</v>
      </c>
      <c r="J14">
        <f t="shared" ref="J14:J28" si="2">B14*C14</f>
        <v>-1</v>
      </c>
      <c r="K14">
        <f t="shared" ref="K14:K28" si="3">D14*F14</f>
        <v>-1</v>
      </c>
      <c r="L14">
        <f t="shared" ref="L14:L28" si="4">C14*D14*F14</f>
        <v>1</v>
      </c>
    </row>
    <row r="15" spans="1:12" ht="20" customHeight="1" x14ac:dyDescent="0.2">
      <c r="A15" s="2">
        <v>3</v>
      </c>
      <c r="B15" s="3">
        <v>-1</v>
      </c>
      <c r="C15" s="3">
        <v>1</v>
      </c>
      <c r="D15" s="3">
        <v>-1</v>
      </c>
      <c r="E15" s="3">
        <v>-1</v>
      </c>
      <c r="F15" s="4">
        <f t="shared" si="0"/>
        <v>1</v>
      </c>
      <c r="G15" s="4">
        <f t="shared" si="1"/>
        <v>1</v>
      </c>
      <c r="H15" s="3">
        <v>32</v>
      </c>
      <c r="J15">
        <f t="shared" si="2"/>
        <v>-1</v>
      </c>
      <c r="K15">
        <f t="shared" si="3"/>
        <v>-1</v>
      </c>
      <c r="L15">
        <f t="shared" si="4"/>
        <v>-1</v>
      </c>
    </row>
    <row r="16" spans="1:12" ht="20" customHeight="1" x14ac:dyDescent="0.2">
      <c r="A16" s="3">
        <v>4</v>
      </c>
      <c r="B16" s="3">
        <v>1</v>
      </c>
      <c r="C16" s="3">
        <v>1</v>
      </c>
      <c r="D16" s="3">
        <v>-1</v>
      </c>
      <c r="E16" s="3">
        <v>-1</v>
      </c>
      <c r="F16" s="4">
        <f t="shared" si="0"/>
        <v>-1</v>
      </c>
      <c r="G16" s="4">
        <f t="shared" si="1"/>
        <v>1</v>
      </c>
      <c r="H16" s="3">
        <v>30</v>
      </c>
      <c r="J16">
        <f t="shared" si="2"/>
        <v>1</v>
      </c>
      <c r="K16">
        <f t="shared" si="3"/>
        <v>1</v>
      </c>
      <c r="L16">
        <f t="shared" si="4"/>
        <v>1</v>
      </c>
    </row>
    <row r="17" spans="1:16" ht="20" customHeight="1" x14ac:dyDescent="0.2">
      <c r="A17" s="2">
        <v>5</v>
      </c>
      <c r="B17" s="3">
        <v>-1</v>
      </c>
      <c r="C17" s="3">
        <v>-1</v>
      </c>
      <c r="D17" s="3">
        <v>1</v>
      </c>
      <c r="E17" s="3">
        <v>-1</v>
      </c>
      <c r="F17" s="4">
        <f t="shared" si="0"/>
        <v>1</v>
      </c>
      <c r="G17" s="4">
        <f t="shared" si="1"/>
        <v>1</v>
      </c>
      <c r="H17" s="3">
        <v>4</v>
      </c>
      <c r="J17">
        <f t="shared" si="2"/>
        <v>1</v>
      </c>
      <c r="K17">
        <f t="shared" si="3"/>
        <v>1</v>
      </c>
      <c r="L17">
        <f t="shared" si="4"/>
        <v>-1</v>
      </c>
    </row>
    <row r="18" spans="1:16" ht="20" customHeight="1" x14ac:dyDescent="0.2">
      <c r="A18" s="3">
        <v>6</v>
      </c>
      <c r="B18" s="3">
        <v>1</v>
      </c>
      <c r="C18" s="3">
        <v>-1</v>
      </c>
      <c r="D18" s="3">
        <v>1</v>
      </c>
      <c r="E18" s="3">
        <v>-1</v>
      </c>
      <c r="F18" s="4">
        <f t="shared" si="0"/>
        <v>-1</v>
      </c>
      <c r="G18" s="4">
        <f t="shared" si="1"/>
        <v>1</v>
      </c>
      <c r="H18" s="3">
        <v>15</v>
      </c>
      <c r="J18">
        <f t="shared" si="2"/>
        <v>-1</v>
      </c>
      <c r="K18">
        <f t="shared" si="3"/>
        <v>-1</v>
      </c>
      <c r="L18">
        <f t="shared" si="4"/>
        <v>1</v>
      </c>
    </row>
    <row r="19" spans="1:16" ht="20" customHeight="1" x14ac:dyDescent="0.2">
      <c r="A19" s="2">
        <v>7</v>
      </c>
      <c r="B19" s="3">
        <v>-1</v>
      </c>
      <c r="C19" s="3">
        <v>1</v>
      </c>
      <c r="D19" s="3">
        <v>1</v>
      </c>
      <c r="E19" s="3">
        <v>-1</v>
      </c>
      <c r="F19" s="4">
        <f t="shared" si="0"/>
        <v>-1</v>
      </c>
      <c r="G19" s="4">
        <f t="shared" si="1"/>
        <v>-1</v>
      </c>
      <c r="H19" s="3">
        <v>26</v>
      </c>
      <c r="J19">
        <f t="shared" si="2"/>
        <v>-1</v>
      </c>
      <c r="K19">
        <f t="shared" si="3"/>
        <v>-1</v>
      </c>
      <c r="L19">
        <f t="shared" si="4"/>
        <v>-1</v>
      </c>
    </row>
    <row r="20" spans="1:16" ht="20" customHeight="1" x14ac:dyDescent="0.2">
      <c r="A20" s="3">
        <v>8</v>
      </c>
      <c r="B20" s="3">
        <v>1</v>
      </c>
      <c r="C20" s="3">
        <v>1</v>
      </c>
      <c r="D20" s="3">
        <v>1</v>
      </c>
      <c r="E20" s="3">
        <v>-1</v>
      </c>
      <c r="F20" s="4">
        <f t="shared" si="0"/>
        <v>1</v>
      </c>
      <c r="G20" s="4">
        <f t="shared" si="1"/>
        <v>-1</v>
      </c>
      <c r="H20" s="3">
        <v>60</v>
      </c>
      <c r="J20">
        <f t="shared" si="2"/>
        <v>1</v>
      </c>
      <c r="K20">
        <f t="shared" si="3"/>
        <v>1</v>
      </c>
      <c r="L20">
        <f t="shared" si="4"/>
        <v>1</v>
      </c>
    </row>
    <row r="21" spans="1:16" ht="20" customHeight="1" x14ac:dyDescent="0.2">
      <c r="A21" s="2">
        <v>9</v>
      </c>
      <c r="B21" s="3">
        <v>-1</v>
      </c>
      <c r="C21" s="3">
        <v>-1</v>
      </c>
      <c r="D21" s="3">
        <v>-1</v>
      </c>
      <c r="E21" s="3">
        <v>1</v>
      </c>
      <c r="F21" s="4">
        <f t="shared" si="0"/>
        <v>-1</v>
      </c>
      <c r="G21" s="4">
        <f t="shared" si="1"/>
        <v>1</v>
      </c>
      <c r="H21" s="2">
        <v>8</v>
      </c>
      <c r="J21">
        <f t="shared" si="2"/>
        <v>1</v>
      </c>
      <c r="K21">
        <f t="shared" si="3"/>
        <v>1</v>
      </c>
      <c r="L21">
        <f t="shared" si="4"/>
        <v>-1</v>
      </c>
    </row>
    <row r="22" spans="1:16" ht="20" customHeight="1" x14ac:dyDescent="0.2">
      <c r="A22" s="3">
        <v>10</v>
      </c>
      <c r="B22" s="3">
        <v>1</v>
      </c>
      <c r="C22" s="3">
        <v>-1</v>
      </c>
      <c r="D22" s="3">
        <v>-1</v>
      </c>
      <c r="E22" s="3">
        <v>1</v>
      </c>
      <c r="F22" s="4">
        <f t="shared" si="0"/>
        <v>1</v>
      </c>
      <c r="G22" s="4">
        <f t="shared" si="1"/>
        <v>1</v>
      </c>
      <c r="H22" s="3">
        <v>12</v>
      </c>
      <c r="J22">
        <f t="shared" si="2"/>
        <v>-1</v>
      </c>
      <c r="K22">
        <f t="shared" si="3"/>
        <v>-1</v>
      </c>
      <c r="L22">
        <f t="shared" si="4"/>
        <v>1</v>
      </c>
    </row>
    <row r="23" spans="1:16" ht="20" customHeight="1" x14ac:dyDescent="0.2">
      <c r="A23" s="2">
        <v>11</v>
      </c>
      <c r="B23" s="3">
        <v>-1</v>
      </c>
      <c r="C23" s="3">
        <v>1</v>
      </c>
      <c r="D23" s="3">
        <v>-1</v>
      </c>
      <c r="E23" s="3">
        <v>1</v>
      </c>
      <c r="F23" s="4">
        <f t="shared" si="0"/>
        <v>1</v>
      </c>
      <c r="G23" s="4">
        <f t="shared" si="1"/>
        <v>-1</v>
      </c>
      <c r="H23" s="3">
        <v>34</v>
      </c>
      <c r="J23">
        <f t="shared" si="2"/>
        <v>-1</v>
      </c>
      <c r="K23">
        <f t="shared" si="3"/>
        <v>-1</v>
      </c>
      <c r="L23">
        <f t="shared" si="4"/>
        <v>-1</v>
      </c>
    </row>
    <row r="24" spans="1:16" ht="20" customHeight="1" x14ac:dyDescent="0.2">
      <c r="A24" s="3">
        <v>12</v>
      </c>
      <c r="B24" s="3">
        <v>1</v>
      </c>
      <c r="C24" s="3">
        <v>1</v>
      </c>
      <c r="D24" s="3">
        <v>-1</v>
      </c>
      <c r="E24" s="3">
        <v>1</v>
      </c>
      <c r="F24" s="4">
        <f t="shared" si="0"/>
        <v>-1</v>
      </c>
      <c r="G24" s="4">
        <f t="shared" si="1"/>
        <v>-1</v>
      </c>
      <c r="H24" s="3">
        <v>60</v>
      </c>
      <c r="J24">
        <f t="shared" si="2"/>
        <v>1</v>
      </c>
      <c r="K24">
        <f t="shared" si="3"/>
        <v>1</v>
      </c>
      <c r="L24">
        <f t="shared" si="4"/>
        <v>1</v>
      </c>
    </row>
    <row r="25" spans="1:16" ht="20" customHeight="1" x14ac:dyDescent="0.2">
      <c r="A25" s="2">
        <v>13</v>
      </c>
      <c r="B25" s="3">
        <v>-1</v>
      </c>
      <c r="C25" s="3">
        <v>-1</v>
      </c>
      <c r="D25" s="3">
        <v>1</v>
      </c>
      <c r="E25" s="3">
        <v>1</v>
      </c>
      <c r="F25" s="4">
        <f t="shared" si="0"/>
        <v>1</v>
      </c>
      <c r="G25" s="4">
        <f t="shared" si="1"/>
        <v>-1</v>
      </c>
      <c r="H25" s="3">
        <v>16</v>
      </c>
      <c r="J25">
        <f t="shared" si="2"/>
        <v>1</v>
      </c>
      <c r="K25">
        <f t="shared" si="3"/>
        <v>1</v>
      </c>
      <c r="L25">
        <f t="shared" si="4"/>
        <v>-1</v>
      </c>
    </row>
    <row r="26" spans="1:16" ht="20" customHeight="1" x14ac:dyDescent="0.2">
      <c r="A26" s="3">
        <v>14</v>
      </c>
      <c r="B26" s="3">
        <v>1</v>
      </c>
      <c r="C26" s="3">
        <v>-1</v>
      </c>
      <c r="D26" s="3">
        <v>1</v>
      </c>
      <c r="E26" s="3">
        <v>1</v>
      </c>
      <c r="F26" s="4">
        <f t="shared" si="0"/>
        <v>-1</v>
      </c>
      <c r="G26" s="4">
        <f t="shared" si="1"/>
        <v>-1</v>
      </c>
      <c r="H26" s="3">
        <v>5</v>
      </c>
      <c r="J26">
        <f t="shared" si="2"/>
        <v>-1</v>
      </c>
      <c r="K26">
        <f t="shared" si="3"/>
        <v>-1</v>
      </c>
      <c r="L26">
        <f t="shared" si="4"/>
        <v>1</v>
      </c>
    </row>
    <row r="27" spans="1:16" ht="20" customHeight="1" x14ac:dyDescent="0.2">
      <c r="A27" s="2">
        <v>15</v>
      </c>
      <c r="B27" s="3">
        <v>-1</v>
      </c>
      <c r="C27" s="3">
        <v>1</v>
      </c>
      <c r="D27" s="3">
        <v>1</v>
      </c>
      <c r="E27" s="3">
        <v>1</v>
      </c>
      <c r="F27" s="4">
        <f t="shared" si="0"/>
        <v>-1</v>
      </c>
      <c r="G27" s="4">
        <f t="shared" si="1"/>
        <v>1</v>
      </c>
      <c r="H27" s="3">
        <v>37</v>
      </c>
      <c r="J27">
        <f t="shared" si="2"/>
        <v>-1</v>
      </c>
      <c r="K27">
        <f t="shared" si="3"/>
        <v>-1</v>
      </c>
      <c r="L27">
        <f t="shared" si="4"/>
        <v>-1</v>
      </c>
    </row>
    <row r="28" spans="1:16" ht="20" customHeight="1" x14ac:dyDescent="0.2">
      <c r="A28" s="3">
        <v>16</v>
      </c>
      <c r="B28" s="3">
        <v>1</v>
      </c>
      <c r="C28" s="3">
        <v>1</v>
      </c>
      <c r="D28" s="3">
        <v>1</v>
      </c>
      <c r="E28" s="3">
        <v>1</v>
      </c>
      <c r="F28" s="4">
        <f t="shared" si="0"/>
        <v>1</v>
      </c>
      <c r="G28" s="4">
        <f t="shared" si="1"/>
        <v>1</v>
      </c>
      <c r="H28" s="3">
        <v>52</v>
      </c>
      <c r="J28">
        <f t="shared" si="2"/>
        <v>1</v>
      </c>
      <c r="K28">
        <f t="shared" si="3"/>
        <v>1</v>
      </c>
      <c r="L28">
        <f t="shared" si="4"/>
        <v>1</v>
      </c>
    </row>
    <row r="30" spans="1:16" ht="20" customHeight="1" x14ac:dyDescent="0.2">
      <c r="A30" s="33" t="s">
        <v>4</v>
      </c>
      <c r="B30" s="1" t="s">
        <v>1</v>
      </c>
      <c r="C30" s="1" t="s">
        <v>2</v>
      </c>
      <c r="D30" s="1" t="s">
        <v>3</v>
      </c>
      <c r="E30" s="1" t="s">
        <v>6</v>
      </c>
      <c r="F30" s="1" t="s">
        <v>44</v>
      </c>
      <c r="G30" s="1" t="s">
        <v>47</v>
      </c>
      <c r="J30" s="13" t="s">
        <v>38</v>
      </c>
      <c r="K30" s="13" t="s">
        <v>73</v>
      </c>
      <c r="L30" s="13" t="s">
        <v>74</v>
      </c>
      <c r="N30" s="14" t="s">
        <v>81</v>
      </c>
      <c r="O30" s="14">
        <v>1</v>
      </c>
      <c r="P30" s="14"/>
    </row>
    <row r="31" spans="1:16" ht="20" customHeight="1" x14ac:dyDescent="0.2">
      <c r="A31" s="33"/>
      <c r="B31" s="3">
        <f>B13*$H13</f>
        <v>-6</v>
      </c>
      <c r="C31" s="3">
        <f t="shared" ref="C31:F31" si="5">C13*$H13</f>
        <v>-6</v>
      </c>
      <c r="D31" s="3">
        <f t="shared" si="5"/>
        <v>-6</v>
      </c>
      <c r="E31" s="3">
        <f t="shared" si="5"/>
        <v>-6</v>
      </c>
      <c r="F31" s="3">
        <f t="shared" si="5"/>
        <v>-6</v>
      </c>
      <c r="G31" s="3">
        <f>G13*$H13</f>
        <v>-6</v>
      </c>
      <c r="J31">
        <f>J13*$H13</f>
        <v>6</v>
      </c>
      <c r="K31">
        <f t="shared" ref="K31:L31" si="6">K13*$H13</f>
        <v>6</v>
      </c>
      <c r="L31">
        <f t="shared" si="6"/>
        <v>-6</v>
      </c>
      <c r="N31" s="14" t="s">
        <v>82</v>
      </c>
      <c r="O31" s="14">
        <v>6</v>
      </c>
      <c r="P31" s="14"/>
    </row>
    <row r="32" spans="1:16" ht="20" customHeight="1" x14ac:dyDescent="0.2">
      <c r="A32" s="33"/>
      <c r="B32" s="3">
        <f t="shared" ref="B32:G32" si="7">B14*$H14</f>
        <v>10</v>
      </c>
      <c r="C32" s="3">
        <f t="shared" si="7"/>
        <v>-10</v>
      </c>
      <c r="D32" s="3">
        <f t="shared" si="7"/>
        <v>-10</v>
      </c>
      <c r="E32" s="3">
        <f t="shared" si="7"/>
        <v>-10</v>
      </c>
      <c r="F32" s="3">
        <f t="shared" si="7"/>
        <v>10</v>
      </c>
      <c r="G32" s="3">
        <f t="shared" si="7"/>
        <v>-10</v>
      </c>
      <c r="J32">
        <f t="shared" ref="J32:L32" si="8">J14*$H14</f>
        <v>-10</v>
      </c>
      <c r="K32">
        <f t="shared" si="8"/>
        <v>-10</v>
      </c>
      <c r="L32">
        <f t="shared" si="8"/>
        <v>10</v>
      </c>
    </row>
    <row r="33" spans="1:12" ht="20" customHeight="1" x14ac:dyDescent="0.2">
      <c r="A33" s="33"/>
      <c r="B33" s="3">
        <f t="shared" ref="B33:G33" si="9">B15*$H15</f>
        <v>-32</v>
      </c>
      <c r="C33" s="3">
        <f t="shared" si="9"/>
        <v>32</v>
      </c>
      <c r="D33" s="3">
        <f t="shared" si="9"/>
        <v>-32</v>
      </c>
      <c r="E33" s="3">
        <f t="shared" si="9"/>
        <v>-32</v>
      </c>
      <c r="F33" s="3">
        <f t="shared" si="9"/>
        <v>32</v>
      </c>
      <c r="G33" s="3">
        <f t="shared" si="9"/>
        <v>32</v>
      </c>
      <c r="J33">
        <f t="shared" ref="J33:L33" si="10">J15*$H15</f>
        <v>-32</v>
      </c>
      <c r="K33">
        <f t="shared" si="10"/>
        <v>-32</v>
      </c>
      <c r="L33">
        <f t="shared" si="10"/>
        <v>-32</v>
      </c>
    </row>
    <row r="34" spans="1:12" ht="20" customHeight="1" x14ac:dyDescent="0.2">
      <c r="A34" s="33"/>
      <c r="B34" s="3">
        <f t="shared" ref="B34:G34" si="11">B16*$H16</f>
        <v>30</v>
      </c>
      <c r="C34" s="3">
        <f t="shared" si="11"/>
        <v>30</v>
      </c>
      <c r="D34" s="3">
        <f t="shared" si="11"/>
        <v>-30</v>
      </c>
      <c r="E34" s="3">
        <f t="shared" si="11"/>
        <v>-30</v>
      </c>
      <c r="F34" s="3">
        <f t="shared" si="11"/>
        <v>-30</v>
      </c>
      <c r="G34" s="3">
        <f t="shared" si="11"/>
        <v>30</v>
      </c>
      <c r="J34">
        <f t="shared" ref="J34:L34" si="12">J16*$H16</f>
        <v>30</v>
      </c>
      <c r="K34">
        <f t="shared" si="12"/>
        <v>30</v>
      </c>
      <c r="L34">
        <f t="shared" si="12"/>
        <v>30</v>
      </c>
    </row>
    <row r="35" spans="1:12" ht="20" customHeight="1" x14ac:dyDescent="0.2">
      <c r="A35" s="33"/>
      <c r="B35" s="3">
        <f t="shared" ref="B35:G35" si="13">B17*$H17</f>
        <v>-4</v>
      </c>
      <c r="C35" s="3">
        <f t="shared" si="13"/>
        <v>-4</v>
      </c>
      <c r="D35" s="3">
        <f t="shared" si="13"/>
        <v>4</v>
      </c>
      <c r="E35" s="3">
        <f t="shared" si="13"/>
        <v>-4</v>
      </c>
      <c r="F35" s="3">
        <f t="shared" si="13"/>
        <v>4</v>
      </c>
      <c r="G35" s="3">
        <f t="shared" si="13"/>
        <v>4</v>
      </c>
      <c r="J35">
        <f t="shared" ref="J35:L35" si="14">J17*$H17</f>
        <v>4</v>
      </c>
      <c r="K35">
        <f t="shared" si="14"/>
        <v>4</v>
      </c>
      <c r="L35">
        <f t="shared" si="14"/>
        <v>-4</v>
      </c>
    </row>
    <row r="36" spans="1:12" ht="20" customHeight="1" x14ac:dyDescent="0.2">
      <c r="A36" s="33"/>
      <c r="B36" s="3">
        <f t="shared" ref="B36:G36" si="15">B18*$H18</f>
        <v>15</v>
      </c>
      <c r="C36" s="3">
        <f t="shared" si="15"/>
        <v>-15</v>
      </c>
      <c r="D36" s="3">
        <f t="shared" si="15"/>
        <v>15</v>
      </c>
      <c r="E36" s="3">
        <f t="shared" si="15"/>
        <v>-15</v>
      </c>
      <c r="F36" s="3">
        <f t="shared" si="15"/>
        <v>-15</v>
      </c>
      <c r="G36" s="3">
        <f t="shared" si="15"/>
        <v>15</v>
      </c>
      <c r="J36">
        <f t="shared" ref="J36:L36" si="16">J18*$H18</f>
        <v>-15</v>
      </c>
      <c r="K36">
        <f t="shared" si="16"/>
        <v>-15</v>
      </c>
      <c r="L36">
        <f t="shared" si="16"/>
        <v>15</v>
      </c>
    </row>
    <row r="37" spans="1:12" ht="20" customHeight="1" x14ac:dyDescent="0.2">
      <c r="A37" s="33"/>
      <c r="B37" s="3">
        <f t="shared" ref="B37:G37" si="17">B19*$H19</f>
        <v>-26</v>
      </c>
      <c r="C37" s="3">
        <f t="shared" si="17"/>
        <v>26</v>
      </c>
      <c r="D37" s="3">
        <f t="shared" si="17"/>
        <v>26</v>
      </c>
      <c r="E37" s="3">
        <f t="shared" si="17"/>
        <v>-26</v>
      </c>
      <c r="F37" s="3">
        <f t="shared" si="17"/>
        <v>-26</v>
      </c>
      <c r="G37" s="3">
        <f t="shared" si="17"/>
        <v>-26</v>
      </c>
      <c r="J37">
        <f t="shared" ref="J37:L37" si="18">J19*$H19</f>
        <v>-26</v>
      </c>
      <c r="K37">
        <f t="shared" si="18"/>
        <v>-26</v>
      </c>
      <c r="L37">
        <f t="shared" si="18"/>
        <v>-26</v>
      </c>
    </row>
    <row r="38" spans="1:12" ht="20" customHeight="1" x14ac:dyDescent="0.2">
      <c r="A38" s="33"/>
      <c r="B38" s="3">
        <f t="shared" ref="B38:G38" si="19">B20*$H20</f>
        <v>60</v>
      </c>
      <c r="C38" s="3">
        <f t="shared" si="19"/>
        <v>60</v>
      </c>
      <c r="D38" s="3">
        <f t="shared" si="19"/>
        <v>60</v>
      </c>
      <c r="E38" s="3">
        <f t="shared" si="19"/>
        <v>-60</v>
      </c>
      <c r="F38" s="3">
        <f t="shared" si="19"/>
        <v>60</v>
      </c>
      <c r="G38" s="3">
        <f t="shared" si="19"/>
        <v>-60</v>
      </c>
      <c r="J38">
        <f t="shared" ref="J38:L38" si="20">J20*$H20</f>
        <v>60</v>
      </c>
      <c r="K38">
        <f t="shared" si="20"/>
        <v>60</v>
      </c>
      <c r="L38">
        <f t="shared" si="20"/>
        <v>60</v>
      </c>
    </row>
    <row r="39" spans="1:12" ht="20" customHeight="1" x14ac:dyDescent="0.2">
      <c r="A39" s="33"/>
      <c r="B39" s="3">
        <f t="shared" ref="B39:G39" si="21">B21*$H21</f>
        <v>-8</v>
      </c>
      <c r="C39" s="3">
        <f t="shared" si="21"/>
        <v>-8</v>
      </c>
      <c r="D39" s="3">
        <f t="shared" si="21"/>
        <v>-8</v>
      </c>
      <c r="E39" s="3">
        <f t="shared" si="21"/>
        <v>8</v>
      </c>
      <c r="F39" s="3">
        <f t="shared" si="21"/>
        <v>-8</v>
      </c>
      <c r="G39" s="3">
        <f t="shared" si="21"/>
        <v>8</v>
      </c>
      <c r="J39">
        <f t="shared" ref="J39:L39" si="22">J21*$H21</f>
        <v>8</v>
      </c>
      <c r="K39">
        <f t="shared" si="22"/>
        <v>8</v>
      </c>
      <c r="L39">
        <f t="shared" si="22"/>
        <v>-8</v>
      </c>
    </row>
    <row r="40" spans="1:12" ht="20" customHeight="1" x14ac:dyDescent="0.2">
      <c r="A40" s="33"/>
      <c r="B40" s="3">
        <f t="shared" ref="B40:G40" si="23">B22*$H22</f>
        <v>12</v>
      </c>
      <c r="C40" s="3">
        <f t="shared" si="23"/>
        <v>-12</v>
      </c>
      <c r="D40" s="3">
        <f t="shared" si="23"/>
        <v>-12</v>
      </c>
      <c r="E40" s="3">
        <f t="shared" si="23"/>
        <v>12</v>
      </c>
      <c r="F40" s="3">
        <f t="shared" si="23"/>
        <v>12</v>
      </c>
      <c r="G40" s="3">
        <f t="shared" si="23"/>
        <v>12</v>
      </c>
      <c r="J40">
        <f t="shared" ref="J40:L40" si="24">J22*$H22</f>
        <v>-12</v>
      </c>
      <c r="K40">
        <f t="shared" si="24"/>
        <v>-12</v>
      </c>
      <c r="L40">
        <f t="shared" si="24"/>
        <v>12</v>
      </c>
    </row>
    <row r="41" spans="1:12" ht="20" customHeight="1" x14ac:dyDescent="0.2">
      <c r="A41" s="33"/>
      <c r="B41" s="3">
        <f t="shared" ref="B41:G41" si="25">B23*$H23</f>
        <v>-34</v>
      </c>
      <c r="C41" s="3">
        <f t="shared" si="25"/>
        <v>34</v>
      </c>
      <c r="D41" s="3">
        <f t="shared" si="25"/>
        <v>-34</v>
      </c>
      <c r="E41" s="3">
        <f t="shared" si="25"/>
        <v>34</v>
      </c>
      <c r="F41" s="3">
        <f t="shared" si="25"/>
        <v>34</v>
      </c>
      <c r="G41" s="3">
        <f t="shared" si="25"/>
        <v>-34</v>
      </c>
      <c r="J41">
        <f t="shared" ref="J41:L41" si="26">J23*$H23</f>
        <v>-34</v>
      </c>
      <c r="K41">
        <f t="shared" si="26"/>
        <v>-34</v>
      </c>
      <c r="L41">
        <f t="shared" si="26"/>
        <v>-34</v>
      </c>
    </row>
    <row r="42" spans="1:12" ht="20" customHeight="1" x14ac:dyDescent="0.2">
      <c r="A42" s="33"/>
      <c r="B42" s="3">
        <f t="shared" ref="B42:G42" si="27">B24*$H24</f>
        <v>60</v>
      </c>
      <c r="C42" s="3">
        <f t="shared" si="27"/>
        <v>60</v>
      </c>
      <c r="D42" s="3">
        <f t="shared" si="27"/>
        <v>-60</v>
      </c>
      <c r="E42" s="3">
        <f t="shared" si="27"/>
        <v>60</v>
      </c>
      <c r="F42" s="3">
        <f t="shared" si="27"/>
        <v>-60</v>
      </c>
      <c r="G42" s="3">
        <f t="shared" si="27"/>
        <v>-60</v>
      </c>
      <c r="J42">
        <f t="shared" ref="J42:L42" si="28">J24*$H24</f>
        <v>60</v>
      </c>
      <c r="K42">
        <f t="shared" si="28"/>
        <v>60</v>
      </c>
      <c r="L42">
        <f t="shared" si="28"/>
        <v>60</v>
      </c>
    </row>
    <row r="43" spans="1:12" ht="20" customHeight="1" x14ac:dyDescent="0.2">
      <c r="A43" s="33"/>
      <c r="B43" s="3">
        <f t="shared" ref="B43:G43" si="29">B25*$H25</f>
        <v>-16</v>
      </c>
      <c r="C43" s="3">
        <f t="shared" si="29"/>
        <v>-16</v>
      </c>
      <c r="D43" s="3">
        <f t="shared" si="29"/>
        <v>16</v>
      </c>
      <c r="E43" s="3">
        <f t="shared" si="29"/>
        <v>16</v>
      </c>
      <c r="F43" s="3">
        <f t="shared" si="29"/>
        <v>16</v>
      </c>
      <c r="G43" s="3">
        <f t="shared" si="29"/>
        <v>-16</v>
      </c>
      <c r="J43">
        <f t="shared" ref="J43:L43" si="30">J25*$H25</f>
        <v>16</v>
      </c>
      <c r="K43">
        <f t="shared" si="30"/>
        <v>16</v>
      </c>
      <c r="L43">
        <f t="shared" si="30"/>
        <v>-16</v>
      </c>
    </row>
    <row r="44" spans="1:12" ht="20" customHeight="1" x14ac:dyDescent="0.2">
      <c r="A44" s="33"/>
      <c r="B44" s="3">
        <f t="shared" ref="B44:G44" si="31">B26*$H26</f>
        <v>5</v>
      </c>
      <c r="C44" s="3">
        <f t="shared" si="31"/>
        <v>-5</v>
      </c>
      <c r="D44" s="3">
        <f t="shared" si="31"/>
        <v>5</v>
      </c>
      <c r="E44" s="3">
        <f t="shared" si="31"/>
        <v>5</v>
      </c>
      <c r="F44" s="3">
        <f t="shared" si="31"/>
        <v>-5</v>
      </c>
      <c r="G44" s="3">
        <f t="shared" si="31"/>
        <v>-5</v>
      </c>
      <c r="J44">
        <f t="shared" ref="J44:L44" si="32">J26*$H26</f>
        <v>-5</v>
      </c>
      <c r="K44">
        <f t="shared" si="32"/>
        <v>-5</v>
      </c>
      <c r="L44">
        <f t="shared" si="32"/>
        <v>5</v>
      </c>
    </row>
    <row r="45" spans="1:12" ht="20" customHeight="1" x14ac:dyDescent="0.2">
      <c r="A45" s="33"/>
      <c r="B45" s="3">
        <f t="shared" ref="B45:G45" si="33">B27*$H27</f>
        <v>-37</v>
      </c>
      <c r="C45" s="3">
        <f t="shared" si="33"/>
        <v>37</v>
      </c>
      <c r="D45" s="3">
        <f t="shared" si="33"/>
        <v>37</v>
      </c>
      <c r="E45" s="3">
        <f t="shared" si="33"/>
        <v>37</v>
      </c>
      <c r="F45" s="3">
        <f t="shared" si="33"/>
        <v>-37</v>
      </c>
      <c r="G45" s="3">
        <f t="shared" si="33"/>
        <v>37</v>
      </c>
      <c r="J45">
        <f t="shared" ref="J45:L45" si="34">J27*$H27</f>
        <v>-37</v>
      </c>
      <c r="K45">
        <f t="shared" si="34"/>
        <v>-37</v>
      </c>
      <c r="L45">
        <f t="shared" si="34"/>
        <v>-37</v>
      </c>
    </row>
    <row r="46" spans="1:12" ht="20" customHeight="1" x14ac:dyDescent="0.2">
      <c r="A46" s="33"/>
      <c r="B46" s="3">
        <f t="shared" ref="B46:G46" si="35">B28*$H28</f>
        <v>52</v>
      </c>
      <c r="C46" s="3">
        <f t="shared" si="35"/>
        <v>52</v>
      </c>
      <c r="D46" s="3">
        <f t="shared" si="35"/>
        <v>52</v>
      </c>
      <c r="E46" s="3">
        <f t="shared" si="35"/>
        <v>52</v>
      </c>
      <c r="F46" s="3">
        <f t="shared" si="35"/>
        <v>52</v>
      </c>
      <c r="G46" s="3">
        <f t="shared" si="35"/>
        <v>52</v>
      </c>
      <c r="J46">
        <f t="shared" ref="J46:L46" si="36">J28*$H28</f>
        <v>52</v>
      </c>
      <c r="K46">
        <f t="shared" si="36"/>
        <v>52</v>
      </c>
      <c r="L46">
        <f t="shared" si="36"/>
        <v>52</v>
      </c>
    </row>
    <row r="47" spans="1:12" ht="20" customHeight="1" x14ac:dyDescent="0.2">
      <c r="A47" s="34"/>
      <c r="B47" s="3">
        <f>SUM(B31:B46)</f>
        <v>81</v>
      </c>
      <c r="C47" s="3">
        <f>SUM(C31:C46)</f>
        <v>255</v>
      </c>
      <c r="D47" s="3">
        <f t="shared" ref="D47:G47" si="37">SUM(D31:D46)</f>
        <v>23</v>
      </c>
      <c r="E47" s="3">
        <f t="shared" si="37"/>
        <v>41</v>
      </c>
      <c r="F47" s="3">
        <f t="shared" si="37"/>
        <v>33</v>
      </c>
      <c r="G47" s="3">
        <f t="shared" si="37"/>
        <v>-27</v>
      </c>
      <c r="H47" s="47"/>
      <c r="I47" t="s">
        <v>75</v>
      </c>
      <c r="J47">
        <f>SUM(J31:J46)</f>
        <v>65</v>
      </c>
      <c r="K47">
        <f t="shared" ref="K47:L47" si="38">SUM(K31:K46)</f>
        <v>65</v>
      </c>
      <c r="L47">
        <f t="shared" si="38"/>
        <v>81</v>
      </c>
    </row>
    <row r="48" spans="1:12" ht="20" customHeight="1" x14ac:dyDescent="0.2">
      <c r="A48" s="5" t="s">
        <v>5</v>
      </c>
      <c r="B48" s="3">
        <f>B47/($O$30*2^($O$31-1-2))</f>
        <v>10.125</v>
      </c>
      <c r="C48" s="3">
        <f t="shared" ref="C48:G48" si="39">C47/($O$30*2^($O$31-1-2))</f>
        <v>31.875</v>
      </c>
      <c r="D48" s="3">
        <f t="shared" si="39"/>
        <v>2.875</v>
      </c>
      <c r="E48" s="3">
        <f t="shared" si="39"/>
        <v>5.125</v>
      </c>
      <c r="F48" s="3">
        <f t="shared" si="39"/>
        <v>4.125</v>
      </c>
      <c r="G48" s="3">
        <f t="shared" si="39"/>
        <v>-3.375</v>
      </c>
      <c r="I48" t="s">
        <v>76</v>
      </c>
      <c r="J48">
        <f>J47/($O$30*2^($O$31-1-2))</f>
        <v>8.125</v>
      </c>
      <c r="K48">
        <f t="shared" ref="K48:L48" si="40">K47/($O$30*2^($O$31-1-2))</f>
        <v>8.125</v>
      </c>
      <c r="L48">
        <f t="shared" si="40"/>
        <v>10.125</v>
      </c>
    </row>
    <row r="50" spans="1:2" ht="20" customHeight="1" x14ac:dyDescent="0.2">
      <c r="A50" s="7" t="s">
        <v>23</v>
      </c>
      <c r="B50" s="8">
        <f>B48</f>
        <v>10.125</v>
      </c>
    </row>
    <row r="51" spans="1:2" ht="20" customHeight="1" x14ac:dyDescent="0.2">
      <c r="A51" s="7" t="s">
        <v>24</v>
      </c>
      <c r="B51" s="8">
        <f>J48</f>
        <v>8.125</v>
      </c>
    </row>
    <row r="52" spans="1:2" ht="20" customHeight="1" x14ac:dyDescent="0.2">
      <c r="A52" s="7" t="s">
        <v>25</v>
      </c>
      <c r="B52" s="8">
        <f>K48</f>
        <v>8.125</v>
      </c>
    </row>
    <row r="53" spans="1:2" ht="20" customHeight="1" x14ac:dyDescent="0.2">
      <c r="A53" s="7" t="s">
        <v>26</v>
      </c>
      <c r="B53" s="8">
        <f>L48</f>
        <v>10.125</v>
      </c>
    </row>
  </sheetData>
  <mergeCells count="4">
    <mergeCell ref="A11:A12"/>
    <mergeCell ref="B11:G11"/>
    <mergeCell ref="H11:H12"/>
    <mergeCell ref="A30:A4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3995-60DF-49F1-9A70-4B3ABABE5CBE}">
  <dimension ref="A1:I9"/>
  <sheetViews>
    <sheetView workbookViewId="0"/>
  </sheetViews>
  <sheetFormatPr baseColWidth="10" defaultColWidth="8.83203125" defaultRowHeight="17" customHeight="1" x14ac:dyDescent="0.2"/>
  <cols>
    <col min="1" max="1" width="10.6640625" customWidth="1"/>
  </cols>
  <sheetData>
    <row r="1" spans="1:9" ht="17" customHeight="1" x14ac:dyDescent="0.2">
      <c r="A1" s="10" t="s">
        <v>27</v>
      </c>
      <c r="B1" s="10" t="s">
        <v>1</v>
      </c>
      <c r="C1" s="10" t="s">
        <v>2</v>
      </c>
      <c r="D1" s="10" t="s">
        <v>3</v>
      </c>
      <c r="E1" s="10" t="s">
        <v>6</v>
      </c>
      <c r="F1" s="10" t="s">
        <v>28</v>
      </c>
      <c r="G1" s="10" t="s">
        <v>29</v>
      </c>
      <c r="H1" s="10" t="s">
        <v>30</v>
      </c>
      <c r="I1" s="10" t="s">
        <v>31</v>
      </c>
    </row>
    <row r="2" spans="1:9" ht="17" customHeight="1" x14ac:dyDescent="0.2">
      <c r="A2" s="9">
        <v>1</v>
      </c>
      <c r="B2" s="9">
        <v>-1</v>
      </c>
      <c r="C2" s="9">
        <v>-1</v>
      </c>
      <c r="D2" s="9">
        <v>-1</v>
      </c>
      <c r="E2" s="9">
        <v>1</v>
      </c>
      <c r="F2" s="9">
        <v>1</v>
      </c>
      <c r="G2" s="9">
        <v>1</v>
      </c>
      <c r="H2" s="9">
        <v>-1</v>
      </c>
      <c r="I2" s="11">
        <v>14</v>
      </c>
    </row>
    <row r="3" spans="1:9" ht="17" customHeight="1" x14ac:dyDescent="0.2">
      <c r="A3" s="9">
        <v>2</v>
      </c>
      <c r="B3" s="9">
        <v>1</v>
      </c>
      <c r="C3" s="9">
        <v>-1</v>
      </c>
      <c r="D3" s="9">
        <v>-1</v>
      </c>
      <c r="E3" s="9">
        <v>-1</v>
      </c>
      <c r="F3" s="9">
        <v>-1</v>
      </c>
      <c r="G3" s="9">
        <v>1</v>
      </c>
      <c r="H3" s="9">
        <v>1</v>
      </c>
      <c r="I3" s="11">
        <v>16.8</v>
      </c>
    </row>
    <row r="4" spans="1:9" ht="17" customHeight="1" x14ac:dyDescent="0.2">
      <c r="A4" s="9">
        <v>3</v>
      </c>
      <c r="B4" s="9">
        <v>-1</v>
      </c>
      <c r="C4" s="9">
        <v>1</v>
      </c>
      <c r="D4" s="9">
        <v>-1</v>
      </c>
      <c r="E4" s="9">
        <v>-1</v>
      </c>
      <c r="F4" s="9">
        <v>1</v>
      </c>
      <c r="G4" s="9">
        <v>-1</v>
      </c>
      <c r="H4" s="9">
        <v>1</v>
      </c>
      <c r="I4" s="11">
        <v>15</v>
      </c>
    </row>
    <row r="5" spans="1:9" ht="17" customHeight="1" x14ac:dyDescent="0.2">
      <c r="A5" s="9">
        <v>4</v>
      </c>
      <c r="B5" s="9">
        <v>1</v>
      </c>
      <c r="C5" s="9">
        <v>1</v>
      </c>
      <c r="D5" s="9">
        <v>-1</v>
      </c>
      <c r="E5" s="9">
        <v>1</v>
      </c>
      <c r="F5" s="9">
        <v>-1</v>
      </c>
      <c r="G5" s="9">
        <v>-1</v>
      </c>
      <c r="H5" s="9">
        <v>-1</v>
      </c>
      <c r="I5" s="11">
        <v>15.4</v>
      </c>
    </row>
    <row r="6" spans="1:9" ht="17" customHeight="1" x14ac:dyDescent="0.2">
      <c r="A6" s="9">
        <v>5</v>
      </c>
      <c r="B6" s="9">
        <v>-1</v>
      </c>
      <c r="C6" s="9">
        <v>-1</v>
      </c>
      <c r="D6" s="9">
        <v>1</v>
      </c>
      <c r="E6" s="9">
        <v>1</v>
      </c>
      <c r="F6" s="9">
        <v>-1</v>
      </c>
      <c r="G6" s="9">
        <v>-1</v>
      </c>
      <c r="H6" s="9">
        <v>1</v>
      </c>
      <c r="I6" s="11">
        <v>27.6</v>
      </c>
    </row>
    <row r="7" spans="1:9" ht="17" customHeight="1" x14ac:dyDescent="0.2">
      <c r="A7" s="9">
        <v>6</v>
      </c>
      <c r="B7" s="9">
        <v>1</v>
      </c>
      <c r="C7" s="9">
        <v>-1</v>
      </c>
      <c r="D7" s="9">
        <v>1</v>
      </c>
      <c r="E7" s="9">
        <v>-1</v>
      </c>
      <c r="F7" s="9">
        <v>1</v>
      </c>
      <c r="G7" s="9">
        <v>-1</v>
      </c>
      <c r="H7" s="9">
        <v>-1</v>
      </c>
      <c r="I7" s="11">
        <v>24</v>
      </c>
    </row>
    <row r="8" spans="1:9" ht="17" customHeight="1" x14ac:dyDescent="0.2">
      <c r="A8" s="9">
        <v>7</v>
      </c>
      <c r="B8" s="9">
        <v>-1</v>
      </c>
      <c r="C8" s="9">
        <v>1</v>
      </c>
      <c r="D8" s="9">
        <v>1</v>
      </c>
      <c r="E8" s="9">
        <v>-1</v>
      </c>
      <c r="F8" s="9">
        <v>-1</v>
      </c>
      <c r="G8" s="9">
        <v>1</v>
      </c>
      <c r="H8" s="9">
        <v>-1</v>
      </c>
      <c r="I8" s="11">
        <v>27.4</v>
      </c>
    </row>
    <row r="9" spans="1:9" ht="17" customHeight="1" x14ac:dyDescent="0.2">
      <c r="A9" s="9">
        <v>8</v>
      </c>
      <c r="B9" s="9">
        <v>1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11">
        <v>22.6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Plasma-2</vt:lpstr>
      <vt:lpstr>InjectionMolding</vt:lpstr>
      <vt:lpstr>InjectionMolding practice</vt:lpstr>
      <vt:lpstr>Shrinkage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2022-07-07T14:21:33Z</dcterms:created>
  <dcterms:modified xsi:type="dcterms:W3CDTF">2026-07-13T19:17:11Z</dcterms:modified>
</cp:coreProperties>
</file>