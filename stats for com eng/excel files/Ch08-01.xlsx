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7E319A82-8378-E54F-82D7-3C3AEB1D5D0D}" xr6:coauthVersionLast="47" xr6:coauthVersionMax="47" xr10:uidLastSave="{00000000-0000-0000-0000-000000000000}"/>
  <bookViews>
    <workbookView xWindow="0" yWindow="600" windowWidth="20480" windowHeight="11080" activeTab="3" xr2:uid="{08B11C4D-59C4-40C1-B8BD-8F99830442B4}"/>
  </bookViews>
  <sheets>
    <sheet name="Example" sheetId="3" r:id="rId1"/>
    <sheet name="Viscosity" sheetId="2" r:id="rId2"/>
    <sheet name="ControlChart" sheetId="4" r:id="rId3"/>
    <sheet name="VaneOpen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" i="5" l="1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X49" i="5"/>
  <c r="W49" i="5"/>
  <c r="V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49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X26" i="5"/>
  <c r="W26" i="5"/>
  <c r="V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26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O49" i="5"/>
  <c r="N49" i="5"/>
  <c r="M49" i="5"/>
  <c r="L67" i="5"/>
  <c r="L6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49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N26" i="5"/>
  <c r="M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26" i="5"/>
  <c r="L20" i="5"/>
  <c r="L19" i="5"/>
  <c r="L18" i="5"/>
  <c r="L15" i="5"/>
  <c r="L14" i="5"/>
  <c r="L13" i="5"/>
  <c r="L10" i="5"/>
  <c r="L9" i="5"/>
  <c r="L8" i="5"/>
  <c r="L5" i="5"/>
  <c r="L4" i="5"/>
  <c r="L3" i="5"/>
  <c r="E26" i="5"/>
  <c r="I24" i="5"/>
  <c r="H24" i="5"/>
  <c r="G24" i="5"/>
  <c r="G3" i="5"/>
  <c r="H3" i="5"/>
  <c r="I3" i="5"/>
  <c r="G4" i="5"/>
  <c r="H4" i="5"/>
  <c r="I4" i="5"/>
  <c r="G5" i="5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I2" i="5"/>
  <c r="H2" i="5"/>
  <c r="G2" i="5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D2" i="2"/>
  <c r="E2" i="2"/>
  <c r="C2" i="2"/>
  <c r="H9" i="2"/>
  <c r="H8" i="2"/>
  <c r="H7" i="2"/>
  <c r="H4" i="2"/>
  <c r="H3" i="2"/>
  <c r="H2" i="2"/>
  <c r="H1" i="2"/>
  <c r="B9" i="3"/>
  <c r="B8" i="3"/>
  <c r="B7" i="3"/>
  <c r="B4" i="3"/>
</calcChain>
</file>

<file path=xl/sharedStrings.xml><?xml version="1.0" encoding="utf-8"?>
<sst xmlns="http://schemas.openxmlformats.org/spreadsheetml/2006/main" count="76" uniqueCount="51">
  <si>
    <t>Sample</t>
  </si>
  <si>
    <t>Viscosity</t>
  </si>
  <si>
    <t>n =</t>
  </si>
  <si>
    <t>UCL =</t>
  </si>
  <si>
    <t>CL =</t>
  </si>
  <si>
    <t>LCL =</t>
  </si>
  <si>
    <t>3-Sigma Control Limits</t>
  </si>
  <si>
    <t>Sample S.D. =</t>
  </si>
  <si>
    <t>Sample Mean =</t>
  </si>
  <si>
    <t>µ =</t>
  </si>
  <si>
    <t>σ =</t>
  </si>
  <si>
    <t>S.D. of Sample Mean =</t>
  </si>
  <si>
    <t>UCL</t>
  </si>
  <si>
    <t>CL</t>
  </si>
  <si>
    <t>LCL</t>
  </si>
  <si>
    <t>Sample Number</t>
  </si>
  <si>
    <t>x1</t>
  </si>
  <si>
    <t>x2</t>
  </si>
  <si>
    <t>x3</t>
  </si>
  <si>
    <t>x4</t>
  </si>
  <si>
    <t>x5</t>
  </si>
  <si>
    <t>Sample Mean</t>
  </si>
  <si>
    <t>Range</t>
  </si>
  <si>
    <t>S.D.</t>
  </si>
  <si>
    <t>Grand Mean</t>
  </si>
  <si>
    <t>Average Range</t>
  </si>
  <si>
    <t>Average S.D.</t>
  </si>
  <si>
    <t>X-bar Control Chart</t>
  </si>
  <si>
    <t>S Control Chart</t>
  </si>
  <si>
    <t>R Control Chart</t>
  </si>
  <si>
    <t>X-bar Control Chart from S</t>
  </si>
  <si>
    <t>A2 =</t>
  </si>
  <si>
    <t>D3 =</t>
  </si>
  <si>
    <t>D4 =</t>
  </si>
  <si>
    <t>C4 =</t>
  </si>
  <si>
    <t>stdev / sqrt(n)</t>
  </si>
  <si>
    <t>mean + 3*mean std</t>
  </si>
  <si>
    <t>mean - 3*mean std</t>
  </si>
  <si>
    <t>mean</t>
  </si>
  <si>
    <t>If sample value (actual value) is out of limit</t>
  </si>
  <si>
    <t>3 because of formula</t>
  </si>
  <si>
    <t>n</t>
  </si>
  <si>
    <t>UCL_R</t>
  </si>
  <si>
    <t>CL_R</t>
  </si>
  <si>
    <t>LCL_R</t>
  </si>
  <si>
    <t>S</t>
  </si>
  <si>
    <t>UCL_S</t>
  </si>
  <si>
    <t>CL_S</t>
  </si>
  <si>
    <t>LCL_S</t>
  </si>
  <si>
    <t>X bar control chart from S</t>
  </si>
  <si>
    <t>X bar control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</si>
</sst>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164" fontId="0" fillId="3" borderId="1" xfId="0" applyNumberFormat="1" applyFill="1" applyBorder="1"/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Viscosity!$B$1</c:f>
              <c:strCache>
                <c:ptCount val="1"/>
                <c:pt idx="0">
                  <c:v>Viscosity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Viscosity!$A$2:$A$21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Viscosity!$B$2:$B$21</c:f>
              <c:numCache>
                <c:formatCode>General</c:formatCode>
                <c:ptCount val="20"/>
                <c:pt idx="0">
                  <c:v>378</c:v>
                </c:pt>
                <c:pt idx="1">
                  <c:v>438</c:v>
                </c:pt>
                <c:pt idx="2">
                  <c:v>487</c:v>
                </c:pt>
                <c:pt idx="3">
                  <c:v>515</c:v>
                </c:pt>
                <c:pt idx="4">
                  <c:v>485</c:v>
                </c:pt>
                <c:pt idx="5">
                  <c:v>474</c:v>
                </c:pt>
                <c:pt idx="6">
                  <c:v>486</c:v>
                </c:pt>
                <c:pt idx="7">
                  <c:v>548</c:v>
                </c:pt>
                <c:pt idx="8">
                  <c:v>502</c:v>
                </c:pt>
                <c:pt idx="9">
                  <c:v>440</c:v>
                </c:pt>
                <c:pt idx="10">
                  <c:v>462</c:v>
                </c:pt>
                <c:pt idx="11">
                  <c:v>502</c:v>
                </c:pt>
                <c:pt idx="12">
                  <c:v>449</c:v>
                </c:pt>
                <c:pt idx="13">
                  <c:v>470</c:v>
                </c:pt>
                <c:pt idx="14">
                  <c:v>501</c:v>
                </c:pt>
                <c:pt idx="15">
                  <c:v>470</c:v>
                </c:pt>
                <c:pt idx="16">
                  <c:v>512</c:v>
                </c:pt>
                <c:pt idx="17">
                  <c:v>530</c:v>
                </c:pt>
                <c:pt idx="18">
                  <c:v>462</c:v>
                </c:pt>
                <c:pt idx="19">
                  <c:v>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7-41AE-A64B-D90B71EBB740}"/>
            </c:ext>
          </c:extLst>
        </c:ser>
        <c:ser>
          <c:idx val="1"/>
          <c:order val="1"/>
          <c:tx>
            <c:strRef>
              <c:f>Viscosity!$C$1</c:f>
              <c:strCache>
                <c:ptCount val="1"/>
                <c:pt idx="0">
                  <c:v>UCL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Viscosity!$A$2:$A$21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Viscosity!$C$2:$C$21</c:f>
              <c:numCache>
                <c:formatCode>0.0000</c:formatCode>
                <c:ptCount val="20"/>
                <c:pt idx="0">
                  <c:v>505.21197030564468</c:v>
                </c:pt>
                <c:pt idx="1">
                  <c:v>505.21197030564468</c:v>
                </c:pt>
                <c:pt idx="2">
                  <c:v>505.21197030564468</c:v>
                </c:pt>
                <c:pt idx="3">
                  <c:v>505.21197030564468</c:v>
                </c:pt>
                <c:pt idx="4">
                  <c:v>505.21197030564468</c:v>
                </c:pt>
                <c:pt idx="5">
                  <c:v>505.21197030564468</c:v>
                </c:pt>
                <c:pt idx="6">
                  <c:v>505.21197030564468</c:v>
                </c:pt>
                <c:pt idx="7">
                  <c:v>505.21197030564468</c:v>
                </c:pt>
                <c:pt idx="8">
                  <c:v>505.21197030564468</c:v>
                </c:pt>
                <c:pt idx="9">
                  <c:v>505.21197030564468</c:v>
                </c:pt>
                <c:pt idx="10">
                  <c:v>505.21197030564468</c:v>
                </c:pt>
                <c:pt idx="11">
                  <c:v>505.21197030564468</c:v>
                </c:pt>
                <c:pt idx="12">
                  <c:v>505.21197030564468</c:v>
                </c:pt>
                <c:pt idx="13">
                  <c:v>505.21197030564468</c:v>
                </c:pt>
                <c:pt idx="14">
                  <c:v>505.21197030564468</c:v>
                </c:pt>
                <c:pt idx="15">
                  <c:v>505.21197030564468</c:v>
                </c:pt>
                <c:pt idx="16">
                  <c:v>505.21197030564468</c:v>
                </c:pt>
                <c:pt idx="17">
                  <c:v>505.21197030564468</c:v>
                </c:pt>
                <c:pt idx="18">
                  <c:v>505.21197030564468</c:v>
                </c:pt>
                <c:pt idx="19">
                  <c:v>505.21197030564468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7-41AE-A64B-D90B71EBB740}"/>
            </c:ext>
          </c:extLst>
        </c:ser>
        <c:ser>
          <c:idx val="2"/>
          <c:order val="2"/>
          <c:tx>
            <c:strRef>
              <c:f>Viscosity!$D$1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Viscosity!$A$2:$A$21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Viscosity!$D$2:$D$21</c:f>
              <c:numCache>
                <c:formatCode>0.0000</c:formatCode>
                <c:ptCount val="20"/>
                <c:pt idx="0">
                  <c:v>480.1</c:v>
                </c:pt>
                <c:pt idx="1">
                  <c:v>480.1</c:v>
                </c:pt>
                <c:pt idx="2">
                  <c:v>480.1</c:v>
                </c:pt>
                <c:pt idx="3">
                  <c:v>480.1</c:v>
                </c:pt>
                <c:pt idx="4">
                  <c:v>480.1</c:v>
                </c:pt>
                <c:pt idx="5">
                  <c:v>480.1</c:v>
                </c:pt>
                <c:pt idx="6">
                  <c:v>480.1</c:v>
                </c:pt>
                <c:pt idx="7">
                  <c:v>480.1</c:v>
                </c:pt>
                <c:pt idx="8">
                  <c:v>480.1</c:v>
                </c:pt>
                <c:pt idx="9">
                  <c:v>480.1</c:v>
                </c:pt>
                <c:pt idx="10">
                  <c:v>480.1</c:v>
                </c:pt>
                <c:pt idx="11">
                  <c:v>480.1</c:v>
                </c:pt>
                <c:pt idx="12">
                  <c:v>480.1</c:v>
                </c:pt>
                <c:pt idx="13">
                  <c:v>480.1</c:v>
                </c:pt>
                <c:pt idx="14">
                  <c:v>480.1</c:v>
                </c:pt>
                <c:pt idx="15">
                  <c:v>480.1</c:v>
                </c:pt>
                <c:pt idx="16">
                  <c:v>480.1</c:v>
                </c:pt>
                <c:pt idx="17">
                  <c:v>480.1</c:v>
                </c:pt>
                <c:pt idx="18">
                  <c:v>480.1</c:v>
                </c:pt>
                <c:pt idx="19">
                  <c:v>480.1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E7-41AE-A64B-D90B71EBB740}"/>
            </c:ext>
          </c:extLst>
        </c:ser>
        <c:ser>
          <c:idx val="3"/>
          <c:order val="3"/>
          <c:tx>
            <c:strRef>
              <c:f>Viscosity!$E$1</c:f>
              <c:strCache>
                <c:ptCount val="1"/>
                <c:pt idx="0">
                  <c:v>LCL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Viscosity!$A$2:$A$21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Viscosity!$E$2:$E$21</c:f>
              <c:numCache>
                <c:formatCode>0.0000</c:formatCode>
                <c:ptCount val="20"/>
                <c:pt idx="0">
                  <c:v>454.98802969435536</c:v>
                </c:pt>
                <c:pt idx="1">
                  <c:v>454.98802969435536</c:v>
                </c:pt>
                <c:pt idx="2">
                  <c:v>454.98802969435536</c:v>
                </c:pt>
                <c:pt idx="3">
                  <c:v>454.98802969435536</c:v>
                </c:pt>
                <c:pt idx="4">
                  <c:v>454.98802969435536</c:v>
                </c:pt>
                <c:pt idx="5">
                  <c:v>454.98802969435536</c:v>
                </c:pt>
                <c:pt idx="6">
                  <c:v>454.98802969435536</c:v>
                </c:pt>
                <c:pt idx="7">
                  <c:v>454.98802969435536</c:v>
                </c:pt>
                <c:pt idx="8">
                  <c:v>454.98802969435536</c:v>
                </c:pt>
                <c:pt idx="9">
                  <c:v>454.98802969435536</c:v>
                </c:pt>
                <c:pt idx="10">
                  <c:v>454.98802969435536</c:v>
                </c:pt>
                <c:pt idx="11">
                  <c:v>454.98802969435536</c:v>
                </c:pt>
                <c:pt idx="12">
                  <c:v>454.98802969435536</c:v>
                </c:pt>
                <c:pt idx="13">
                  <c:v>454.98802969435536</c:v>
                </c:pt>
                <c:pt idx="14">
                  <c:v>454.98802969435536</c:v>
                </c:pt>
                <c:pt idx="15">
                  <c:v>454.98802969435536</c:v>
                </c:pt>
                <c:pt idx="16">
                  <c:v>454.98802969435536</c:v>
                </c:pt>
                <c:pt idx="17">
                  <c:v>454.98802969435536</c:v>
                </c:pt>
                <c:pt idx="18">
                  <c:v>454.98802969435536</c:v>
                </c:pt>
                <c:pt idx="19">
                  <c:v>454.98802969435536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E7-41AE-A64B-D90B71EB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314911"/>
        <c:axId val="386618399"/>
      </c:scatterChart>
      <c:valAx>
        <c:axId val="9333149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618399"/>
        <c:crosses val="autoZero"/>
        <c:crossBetween val="midCat"/>
      </c:valAx>
      <c:valAx>
        <c:axId val="386618399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14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control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VaneOpening!$L$48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VaneOpening!$L$49:$L$68</c:f>
              <c:numCache>
                <c:formatCode>General</c:formatCode>
                <c:ptCount val="20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10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  <c:pt idx="18">
                  <c:v>9</c:v>
                </c:pt>
                <c:pt idx="1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D-124C-B7C1-8D9594E42329}"/>
            </c:ext>
          </c:extLst>
        </c:ser>
        <c:ser>
          <c:idx val="1"/>
          <c:order val="1"/>
          <c:tx>
            <c:strRef>
              <c:f>VaneOpening!$M$48</c:f>
              <c:strCache>
                <c:ptCount val="1"/>
                <c:pt idx="0">
                  <c:v>UCL_R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VaneOpening!$M$49:$M$68</c:f>
              <c:numCache>
                <c:formatCode>0.0000</c:formatCode>
                <c:ptCount val="20"/>
                <c:pt idx="0">
                  <c:v>12.261199999999999</c:v>
                </c:pt>
                <c:pt idx="1">
                  <c:v>12.261199999999999</c:v>
                </c:pt>
                <c:pt idx="2">
                  <c:v>12.261199999999999</c:v>
                </c:pt>
                <c:pt idx="3">
                  <c:v>12.261199999999999</c:v>
                </c:pt>
                <c:pt idx="4">
                  <c:v>12.261199999999999</c:v>
                </c:pt>
                <c:pt idx="5">
                  <c:v>12.261199999999999</c:v>
                </c:pt>
                <c:pt idx="6">
                  <c:v>12.261199999999999</c:v>
                </c:pt>
                <c:pt idx="7">
                  <c:v>12.261199999999999</c:v>
                </c:pt>
                <c:pt idx="8">
                  <c:v>12.261199999999999</c:v>
                </c:pt>
                <c:pt idx="9">
                  <c:v>12.261199999999999</c:v>
                </c:pt>
                <c:pt idx="10">
                  <c:v>12.261199999999999</c:v>
                </c:pt>
                <c:pt idx="11">
                  <c:v>12.261199999999999</c:v>
                </c:pt>
                <c:pt idx="12">
                  <c:v>12.261199999999999</c:v>
                </c:pt>
                <c:pt idx="13">
                  <c:v>12.261199999999999</c:v>
                </c:pt>
                <c:pt idx="14">
                  <c:v>12.261199999999999</c:v>
                </c:pt>
                <c:pt idx="15">
                  <c:v>12.261199999999999</c:v>
                </c:pt>
                <c:pt idx="16">
                  <c:v>12.261199999999999</c:v>
                </c:pt>
                <c:pt idx="17">
                  <c:v>12.261199999999999</c:v>
                </c:pt>
                <c:pt idx="18">
                  <c:v>12.261199999999999</c:v>
                </c:pt>
                <c:pt idx="19">
                  <c:v>12.261199999999999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D-124C-B7C1-8D9594E42329}"/>
            </c:ext>
          </c:extLst>
        </c:ser>
        <c:ser>
          <c:idx val="2"/>
          <c:order val="2"/>
          <c:tx>
            <c:strRef>
              <c:f>VaneOpening!$N$48</c:f>
              <c:strCache>
                <c:ptCount val="1"/>
                <c:pt idx="0">
                  <c:v>CL_R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VaneOpening!$N$49:$N$68</c:f>
              <c:numCache>
                <c:formatCode>0.0000</c:formatCode>
                <c:ptCount val="20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D-124C-B7C1-8D9594E42329}"/>
            </c:ext>
          </c:extLst>
        </c:ser>
        <c:ser>
          <c:idx val="3"/>
          <c:order val="3"/>
          <c:tx>
            <c:strRef>
              <c:f>VaneOpening!$O$48</c:f>
              <c:strCache>
                <c:ptCount val="1"/>
                <c:pt idx="0">
                  <c:v>LCL_R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VaneOpening!$O$49:$O$68</c:f>
              <c:numCache>
                <c:formatCode>0.0000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DD-124C-B7C1-8D9594E42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551040"/>
        <c:axId val="1110544320"/>
      </c:lineChart>
      <c:catAx>
        <c:axId val="1110551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10544320"/>
        <c:crosses val="autoZero"/>
        <c:auto val="1"/>
        <c:lblAlgn val="ctr"/>
        <c:lblOffset val="100"/>
        <c:noMultiLvlLbl val="0"/>
      </c:catAx>
      <c:valAx>
        <c:axId val="11105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1055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VaneOpening!$U$48</c:f>
              <c:strCache>
                <c:ptCount val="1"/>
                <c:pt idx="0">
                  <c:v>X bar control chart from 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VaneOpening!$U$49:$U$68</c:f>
              <c:numCache>
                <c:formatCode>0.0000</c:formatCode>
                <c:ptCount val="20"/>
                <c:pt idx="0">
                  <c:v>31.6</c:v>
                </c:pt>
                <c:pt idx="1">
                  <c:v>33.4</c:v>
                </c:pt>
                <c:pt idx="2">
                  <c:v>35</c:v>
                </c:pt>
                <c:pt idx="3">
                  <c:v>32.200000000000003</c:v>
                </c:pt>
                <c:pt idx="4">
                  <c:v>33.799999999999997</c:v>
                </c:pt>
                <c:pt idx="5">
                  <c:v>38.4</c:v>
                </c:pt>
                <c:pt idx="6">
                  <c:v>31.6</c:v>
                </c:pt>
                <c:pt idx="7">
                  <c:v>36.799999999999997</c:v>
                </c:pt>
                <c:pt idx="8">
                  <c:v>35</c:v>
                </c:pt>
                <c:pt idx="9">
                  <c:v>34</c:v>
                </c:pt>
                <c:pt idx="10">
                  <c:v>29.8</c:v>
                </c:pt>
                <c:pt idx="11">
                  <c:v>34</c:v>
                </c:pt>
                <c:pt idx="12">
                  <c:v>33</c:v>
                </c:pt>
                <c:pt idx="13">
                  <c:v>34.799999999999997</c:v>
                </c:pt>
                <c:pt idx="14">
                  <c:v>35.6</c:v>
                </c:pt>
                <c:pt idx="15">
                  <c:v>30.8</c:v>
                </c:pt>
                <c:pt idx="16">
                  <c:v>33</c:v>
                </c:pt>
                <c:pt idx="17">
                  <c:v>31.6</c:v>
                </c:pt>
                <c:pt idx="18">
                  <c:v>28.2</c:v>
                </c:pt>
                <c:pt idx="19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6-9340-8C9B-DD16FC54C934}"/>
            </c:ext>
          </c:extLst>
        </c:ser>
        <c:ser>
          <c:idx val="1"/>
          <c:order val="1"/>
          <c:tx>
            <c:strRef>
              <c:f>VaneOpening!$V$48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VaneOpening!$V$49:$V$68</c:f>
              <c:numCache>
                <c:formatCode>0.0000</c:formatCode>
                <c:ptCount val="20"/>
                <c:pt idx="0">
                  <c:v>36.667056508661879</c:v>
                </c:pt>
                <c:pt idx="1">
                  <c:v>36.667056508661879</c:v>
                </c:pt>
                <c:pt idx="2">
                  <c:v>36.667056508661879</c:v>
                </c:pt>
                <c:pt idx="3">
                  <c:v>36.667056508661879</c:v>
                </c:pt>
                <c:pt idx="4">
                  <c:v>36.667056508661879</c:v>
                </c:pt>
                <c:pt idx="5">
                  <c:v>36.667056508661879</c:v>
                </c:pt>
                <c:pt idx="6">
                  <c:v>36.667056508661879</c:v>
                </c:pt>
                <c:pt idx="7">
                  <c:v>36.667056508661879</c:v>
                </c:pt>
                <c:pt idx="8">
                  <c:v>36.667056508661879</c:v>
                </c:pt>
                <c:pt idx="9">
                  <c:v>36.667056508661879</c:v>
                </c:pt>
                <c:pt idx="10">
                  <c:v>36.667056508661879</c:v>
                </c:pt>
                <c:pt idx="11">
                  <c:v>36.667056508661879</c:v>
                </c:pt>
                <c:pt idx="12">
                  <c:v>36.667056508661879</c:v>
                </c:pt>
                <c:pt idx="13">
                  <c:v>36.667056508661879</c:v>
                </c:pt>
                <c:pt idx="14">
                  <c:v>36.667056508661879</c:v>
                </c:pt>
                <c:pt idx="15">
                  <c:v>36.667056508661879</c:v>
                </c:pt>
                <c:pt idx="16">
                  <c:v>36.667056508661879</c:v>
                </c:pt>
                <c:pt idx="17">
                  <c:v>36.667056508661879</c:v>
                </c:pt>
                <c:pt idx="18">
                  <c:v>36.667056508661879</c:v>
                </c:pt>
                <c:pt idx="19">
                  <c:v>36.667056508661879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6-9340-8C9B-DD16FC54C934}"/>
            </c:ext>
          </c:extLst>
        </c:ser>
        <c:ser>
          <c:idx val="2"/>
          <c:order val="2"/>
          <c:tx>
            <c:strRef>
              <c:f>VaneOpening!$W$48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VaneOpening!$W$49:$W$68</c:f>
              <c:numCache>
                <c:formatCode>0.0000</c:formatCode>
                <c:ptCount val="20"/>
                <c:pt idx="0">
                  <c:v>33.320000000000007</c:v>
                </c:pt>
                <c:pt idx="1">
                  <c:v>33.320000000000007</c:v>
                </c:pt>
                <c:pt idx="2">
                  <c:v>33.320000000000007</c:v>
                </c:pt>
                <c:pt idx="3">
                  <c:v>33.320000000000007</c:v>
                </c:pt>
                <c:pt idx="4">
                  <c:v>33.320000000000007</c:v>
                </c:pt>
                <c:pt idx="5">
                  <c:v>33.320000000000007</c:v>
                </c:pt>
                <c:pt idx="6">
                  <c:v>33.320000000000007</c:v>
                </c:pt>
                <c:pt idx="7">
                  <c:v>33.320000000000007</c:v>
                </c:pt>
                <c:pt idx="8">
                  <c:v>33.320000000000007</c:v>
                </c:pt>
                <c:pt idx="9">
                  <c:v>33.320000000000007</c:v>
                </c:pt>
                <c:pt idx="10">
                  <c:v>33.320000000000007</c:v>
                </c:pt>
                <c:pt idx="11">
                  <c:v>33.320000000000007</c:v>
                </c:pt>
                <c:pt idx="12">
                  <c:v>33.320000000000007</c:v>
                </c:pt>
                <c:pt idx="13">
                  <c:v>33.320000000000007</c:v>
                </c:pt>
                <c:pt idx="14">
                  <c:v>33.320000000000007</c:v>
                </c:pt>
                <c:pt idx="15">
                  <c:v>33.320000000000007</c:v>
                </c:pt>
                <c:pt idx="16">
                  <c:v>33.320000000000007</c:v>
                </c:pt>
                <c:pt idx="17">
                  <c:v>33.320000000000007</c:v>
                </c:pt>
                <c:pt idx="18">
                  <c:v>33.320000000000007</c:v>
                </c:pt>
                <c:pt idx="19">
                  <c:v>33.320000000000007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6-9340-8C9B-DD16FC54C934}"/>
            </c:ext>
          </c:extLst>
        </c:ser>
        <c:ser>
          <c:idx val="3"/>
          <c:order val="3"/>
          <c:tx>
            <c:strRef>
              <c:f>VaneOpening!$X$48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VaneOpening!$X$49:$X$68</c:f>
              <c:numCache>
                <c:formatCode>0.0000</c:formatCode>
                <c:ptCount val="20"/>
                <c:pt idx="0">
                  <c:v>29.972943491338135</c:v>
                </c:pt>
                <c:pt idx="1">
                  <c:v>29.972943491338135</c:v>
                </c:pt>
                <c:pt idx="2">
                  <c:v>29.972943491338135</c:v>
                </c:pt>
                <c:pt idx="3">
                  <c:v>29.972943491338135</c:v>
                </c:pt>
                <c:pt idx="4">
                  <c:v>29.972943491338135</c:v>
                </c:pt>
                <c:pt idx="5">
                  <c:v>29.972943491338135</c:v>
                </c:pt>
                <c:pt idx="6">
                  <c:v>29.972943491338135</c:v>
                </c:pt>
                <c:pt idx="7">
                  <c:v>29.972943491338135</c:v>
                </c:pt>
                <c:pt idx="8">
                  <c:v>29.972943491338135</c:v>
                </c:pt>
                <c:pt idx="9">
                  <c:v>29.972943491338135</c:v>
                </c:pt>
                <c:pt idx="10">
                  <c:v>29.972943491338135</c:v>
                </c:pt>
                <c:pt idx="11">
                  <c:v>29.972943491338135</c:v>
                </c:pt>
                <c:pt idx="12">
                  <c:v>29.972943491338135</c:v>
                </c:pt>
                <c:pt idx="13">
                  <c:v>29.972943491338135</c:v>
                </c:pt>
                <c:pt idx="14">
                  <c:v>29.972943491338135</c:v>
                </c:pt>
                <c:pt idx="15">
                  <c:v>29.972943491338135</c:v>
                </c:pt>
                <c:pt idx="16">
                  <c:v>29.972943491338135</c:v>
                </c:pt>
                <c:pt idx="17">
                  <c:v>29.972943491338135</c:v>
                </c:pt>
                <c:pt idx="18">
                  <c:v>29.972943491338135</c:v>
                </c:pt>
                <c:pt idx="19">
                  <c:v>29.972943491338135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66-9340-8C9B-DD16FC54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646144"/>
        <c:axId val="1137639424"/>
      </c:lineChart>
      <c:catAx>
        <c:axId val="1137646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37639424"/>
        <c:crosses val="autoZero"/>
        <c:auto val="1"/>
        <c:lblAlgn val="ctr"/>
        <c:lblOffset val="100"/>
        <c:noMultiLvlLbl val="0"/>
      </c:catAx>
      <c:valAx>
        <c:axId val="11376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1376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VaneOpening!$U$25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VaneOpening!$U$26:$U$45</c:f>
              <c:numCache>
                <c:formatCode>0.0000</c:formatCode>
                <c:ptCount val="20"/>
                <c:pt idx="0">
                  <c:v>1.6733200530681511</c:v>
                </c:pt>
                <c:pt idx="1">
                  <c:v>2.6076809620810595</c:v>
                </c:pt>
                <c:pt idx="2">
                  <c:v>1.5811388300841898</c:v>
                </c:pt>
                <c:pt idx="3">
                  <c:v>1.6431676725154982</c:v>
                </c:pt>
                <c:pt idx="4">
                  <c:v>0.83666002653407556</c:v>
                </c:pt>
                <c:pt idx="5">
                  <c:v>1.1401754250991381</c:v>
                </c:pt>
                <c:pt idx="6">
                  <c:v>1.51657508881031</c:v>
                </c:pt>
                <c:pt idx="7">
                  <c:v>4.3817804600413339</c:v>
                </c:pt>
                <c:pt idx="8">
                  <c:v>5.4313902456001077</c:v>
                </c:pt>
                <c:pt idx="9">
                  <c:v>2.5495097567963922</c:v>
                </c:pt>
                <c:pt idx="10">
                  <c:v>1.7888543819998317</c:v>
                </c:pt>
                <c:pt idx="11">
                  <c:v>1.7320508075688772</c:v>
                </c:pt>
                <c:pt idx="12">
                  <c:v>3.8078865529319543</c:v>
                </c:pt>
                <c:pt idx="13">
                  <c:v>1.7888543819998317</c:v>
                </c:pt>
                <c:pt idx="14">
                  <c:v>2.6076809620810595</c:v>
                </c:pt>
                <c:pt idx="15">
                  <c:v>2.4899799195977463</c:v>
                </c:pt>
                <c:pt idx="16">
                  <c:v>2</c:v>
                </c:pt>
                <c:pt idx="17">
                  <c:v>1.51657508881031</c:v>
                </c:pt>
                <c:pt idx="18">
                  <c:v>3.4205262752974206</c:v>
                </c:pt>
                <c:pt idx="19">
                  <c:v>2.3874672772626644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B-4B44-A7FC-528397EE12C3}"/>
            </c:ext>
          </c:extLst>
        </c:ser>
        <c:ser>
          <c:idx val="1"/>
          <c:order val="1"/>
          <c:tx>
            <c:strRef>
              <c:f>VaneOpening!$V$25</c:f>
              <c:strCache>
                <c:ptCount val="1"/>
                <c:pt idx="0">
                  <c:v>UCL_S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VaneOpening!$V$26:$V$45</c:f>
              <c:numCache>
                <c:formatCode>0.0000</c:formatCode>
                <c:ptCount val="20"/>
                <c:pt idx="0">
                  <c:v>4.8984971209745805</c:v>
                </c:pt>
                <c:pt idx="1">
                  <c:v>4.8984971209745805</c:v>
                </c:pt>
                <c:pt idx="2">
                  <c:v>4.8984971209745805</c:v>
                </c:pt>
                <c:pt idx="3">
                  <c:v>4.8984971209745805</c:v>
                </c:pt>
                <c:pt idx="4">
                  <c:v>4.8984971209745805</c:v>
                </c:pt>
                <c:pt idx="5">
                  <c:v>4.8984971209745805</c:v>
                </c:pt>
                <c:pt idx="6">
                  <c:v>4.8984971209745805</c:v>
                </c:pt>
                <c:pt idx="7">
                  <c:v>4.8984971209745805</c:v>
                </c:pt>
                <c:pt idx="8">
                  <c:v>4.8984971209745805</c:v>
                </c:pt>
                <c:pt idx="9">
                  <c:v>4.8984971209745805</c:v>
                </c:pt>
                <c:pt idx="10">
                  <c:v>4.8984971209745805</c:v>
                </c:pt>
                <c:pt idx="11">
                  <c:v>4.8984971209745805</c:v>
                </c:pt>
                <c:pt idx="12">
                  <c:v>4.8984971209745805</c:v>
                </c:pt>
                <c:pt idx="13">
                  <c:v>4.8984971209745805</c:v>
                </c:pt>
                <c:pt idx="14">
                  <c:v>4.8984971209745805</c:v>
                </c:pt>
                <c:pt idx="15">
                  <c:v>4.8984971209745805</c:v>
                </c:pt>
                <c:pt idx="16">
                  <c:v>4.8984971209745805</c:v>
                </c:pt>
                <c:pt idx="17">
                  <c:v>4.8984971209745805</c:v>
                </c:pt>
                <c:pt idx="18">
                  <c:v>4.8984971209745805</c:v>
                </c:pt>
                <c:pt idx="19">
                  <c:v>4.8984971209745805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B-4B44-A7FC-528397EE12C3}"/>
            </c:ext>
          </c:extLst>
        </c:ser>
        <c:ser>
          <c:idx val="2"/>
          <c:order val="2"/>
          <c:tx>
            <c:strRef>
              <c:f>VaneOpening!$W$25</c:f>
              <c:strCache>
                <c:ptCount val="1"/>
                <c:pt idx="0">
                  <c:v>CL_S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VaneOpening!$W$26:$W$45</c:f>
              <c:numCache>
                <c:formatCode>0.0000</c:formatCode>
                <c:ptCount val="20"/>
                <c:pt idx="0">
                  <c:v>2.3450637084089978</c:v>
                </c:pt>
                <c:pt idx="1">
                  <c:v>2.3450637084089978</c:v>
                </c:pt>
                <c:pt idx="2">
                  <c:v>2.3450637084089978</c:v>
                </c:pt>
                <c:pt idx="3">
                  <c:v>2.3450637084089978</c:v>
                </c:pt>
                <c:pt idx="4">
                  <c:v>2.3450637084089978</c:v>
                </c:pt>
                <c:pt idx="5">
                  <c:v>2.3450637084089978</c:v>
                </c:pt>
                <c:pt idx="6">
                  <c:v>2.3450637084089978</c:v>
                </c:pt>
                <c:pt idx="7">
                  <c:v>2.3450637084089978</c:v>
                </c:pt>
                <c:pt idx="8">
                  <c:v>2.3450637084089978</c:v>
                </c:pt>
                <c:pt idx="9">
                  <c:v>2.3450637084089978</c:v>
                </c:pt>
                <c:pt idx="10">
                  <c:v>2.3450637084089978</c:v>
                </c:pt>
                <c:pt idx="11">
                  <c:v>2.3450637084089978</c:v>
                </c:pt>
                <c:pt idx="12">
                  <c:v>2.3450637084089978</c:v>
                </c:pt>
                <c:pt idx="13">
                  <c:v>2.3450637084089978</c:v>
                </c:pt>
                <c:pt idx="14">
                  <c:v>2.3450637084089978</c:v>
                </c:pt>
                <c:pt idx="15">
                  <c:v>2.3450637084089978</c:v>
                </c:pt>
                <c:pt idx="16">
                  <c:v>2.3450637084089978</c:v>
                </c:pt>
                <c:pt idx="17">
                  <c:v>2.3450637084089978</c:v>
                </c:pt>
                <c:pt idx="18">
                  <c:v>2.3450637084089978</c:v>
                </c:pt>
                <c:pt idx="19">
                  <c:v>2.3450637084089978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B-4B44-A7FC-528397EE12C3}"/>
            </c:ext>
          </c:extLst>
        </c:ser>
        <c:ser>
          <c:idx val="3"/>
          <c:order val="3"/>
          <c:tx>
            <c:strRef>
              <c:f>VaneOpening!$X$25</c:f>
              <c:strCache>
                <c:ptCount val="1"/>
                <c:pt idx="0">
                  <c:v>LCL_S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VaneOpening!$X$26:$X$45</c:f>
              <c:numCache>
                <c:formatCode>0.0000</c:formatCode>
                <c:ptCount val="20"/>
                <c:pt idx="0">
                  <c:v>-0.2083697041565844</c:v>
                </c:pt>
                <c:pt idx="1">
                  <c:v>-0.2083697041565844</c:v>
                </c:pt>
                <c:pt idx="2">
                  <c:v>-0.2083697041565844</c:v>
                </c:pt>
                <c:pt idx="3">
                  <c:v>-0.2083697041565844</c:v>
                </c:pt>
                <c:pt idx="4">
                  <c:v>-0.2083697041565844</c:v>
                </c:pt>
                <c:pt idx="5">
                  <c:v>-0.2083697041565844</c:v>
                </c:pt>
                <c:pt idx="6">
                  <c:v>-0.2083697041565844</c:v>
                </c:pt>
                <c:pt idx="7">
                  <c:v>-0.2083697041565844</c:v>
                </c:pt>
                <c:pt idx="8">
                  <c:v>-0.2083697041565844</c:v>
                </c:pt>
                <c:pt idx="9">
                  <c:v>-0.2083697041565844</c:v>
                </c:pt>
                <c:pt idx="10">
                  <c:v>-0.2083697041565844</c:v>
                </c:pt>
                <c:pt idx="11">
                  <c:v>-0.2083697041565844</c:v>
                </c:pt>
                <c:pt idx="12">
                  <c:v>-0.2083697041565844</c:v>
                </c:pt>
                <c:pt idx="13">
                  <c:v>-0.2083697041565844</c:v>
                </c:pt>
                <c:pt idx="14">
                  <c:v>-0.2083697041565844</c:v>
                </c:pt>
                <c:pt idx="15">
                  <c:v>-0.2083697041565844</c:v>
                </c:pt>
                <c:pt idx="16">
                  <c:v>-0.2083697041565844</c:v>
                </c:pt>
                <c:pt idx="17">
                  <c:v>-0.2083697041565844</c:v>
                </c:pt>
                <c:pt idx="18">
                  <c:v>-0.2083697041565844</c:v>
                </c:pt>
                <c:pt idx="19">
                  <c:v>-0.2083697041565844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B-4B44-A7FC-528397EE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851200"/>
        <c:axId val="1090856128"/>
      </c:lineChart>
      <c:catAx>
        <c:axId val="1090851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90856128"/>
        <c:crosses val="autoZero"/>
        <c:auto val="1"/>
        <c:lblAlgn val="ctr"/>
        <c:lblOffset val="100"/>
        <c:noMultiLvlLbl val="0"/>
      </c:catAx>
      <c:valAx>
        <c:axId val="10908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908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VaneOpening!$L$25</c:f>
              <c:strCache>
                <c:ptCount val="1"/>
                <c:pt idx="0">
                  <c:v>X bar control chart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VaneOpening!$L$26:$L$45</c:f>
              <c:numCache>
                <c:formatCode>0.0</c:formatCode>
                <c:ptCount val="20"/>
                <c:pt idx="0">
                  <c:v>31.6</c:v>
                </c:pt>
                <c:pt idx="1">
                  <c:v>33.4</c:v>
                </c:pt>
                <c:pt idx="2">
                  <c:v>35</c:v>
                </c:pt>
                <c:pt idx="3">
                  <c:v>32.200000000000003</c:v>
                </c:pt>
                <c:pt idx="4">
                  <c:v>33.799999999999997</c:v>
                </c:pt>
                <c:pt idx="5">
                  <c:v>38.4</c:v>
                </c:pt>
                <c:pt idx="6">
                  <c:v>31.6</c:v>
                </c:pt>
                <c:pt idx="7">
                  <c:v>36.799999999999997</c:v>
                </c:pt>
                <c:pt idx="8">
                  <c:v>35</c:v>
                </c:pt>
                <c:pt idx="9">
                  <c:v>34</c:v>
                </c:pt>
                <c:pt idx="10">
                  <c:v>29.8</c:v>
                </c:pt>
                <c:pt idx="11">
                  <c:v>34</c:v>
                </c:pt>
                <c:pt idx="12">
                  <c:v>33</c:v>
                </c:pt>
                <c:pt idx="13">
                  <c:v>34.799999999999997</c:v>
                </c:pt>
                <c:pt idx="14">
                  <c:v>35.6</c:v>
                </c:pt>
                <c:pt idx="15">
                  <c:v>30.8</c:v>
                </c:pt>
                <c:pt idx="16">
                  <c:v>33</c:v>
                </c:pt>
                <c:pt idx="17">
                  <c:v>31.6</c:v>
                </c:pt>
                <c:pt idx="18">
                  <c:v>28.2</c:v>
                </c:pt>
                <c:pt idx="19">
                  <c:v>33.799999999999997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5-F342-8A4D-86F98295A007}"/>
            </c:ext>
          </c:extLst>
        </c:ser>
        <c:ser>
          <c:idx val="1"/>
          <c:order val="1"/>
          <c:tx>
            <c:strRef>
              <c:f>VaneOpening!$M$25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VaneOpening!$M$26:$M$45</c:f>
              <c:numCache>
                <c:formatCode>0.0000</c:formatCode>
                <c:ptCount val="20"/>
                <c:pt idx="0">
                  <c:v>36.66660000000001</c:v>
                </c:pt>
                <c:pt idx="1">
                  <c:v>36.66660000000001</c:v>
                </c:pt>
                <c:pt idx="2">
                  <c:v>36.66660000000001</c:v>
                </c:pt>
                <c:pt idx="3">
                  <c:v>36.66660000000001</c:v>
                </c:pt>
                <c:pt idx="4">
                  <c:v>36.66660000000001</c:v>
                </c:pt>
                <c:pt idx="5">
                  <c:v>36.66660000000001</c:v>
                </c:pt>
                <c:pt idx="6">
                  <c:v>36.66660000000001</c:v>
                </c:pt>
                <c:pt idx="7">
                  <c:v>36.66660000000001</c:v>
                </c:pt>
                <c:pt idx="8">
                  <c:v>36.66660000000001</c:v>
                </c:pt>
                <c:pt idx="9">
                  <c:v>36.66660000000001</c:v>
                </c:pt>
                <c:pt idx="10">
                  <c:v>36.66660000000001</c:v>
                </c:pt>
                <c:pt idx="11">
                  <c:v>36.66660000000001</c:v>
                </c:pt>
                <c:pt idx="12">
                  <c:v>36.66660000000001</c:v>
                </c:pt>
                <c:pt idx="13">
                  <c:v>36.66660000000001</c:v>
                </c:pt>
                <c:pt idx="14">
                  <c:v>36.66660000000001</c:v>
                </c:pt>
                <c:pt idx="15">
                  <c:v>36.66660000000001</c:v>
                </c:pt>
                <c:pt idx="16">
                  <c:v>36.66660000000001</c:v>
                </c:pt>
                <c:pt idx="17">
                  <c:v>36.66660000000001</c:v>
                </c:pt>
                <c:pt idx="18">
                  <c:v>36.66660000000001</c:v>
                </c:pt>
                <c:pt idx="19">
                  <c:v>36.66660000000001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5-F342-8A4D-86F98295A007}"/>
            </c:ext>
          </c:extLst>
        </c:ser>
        <c:ser>
          <c:idx val="2"/>
          <c:order val="2"/>
          <c:tx>
            <c:strRef>
              <c:f>VaneOpening!$N$25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VaneOpening!$N$26:$N$45</c:f>
              <c:numCache>
                <c:formatCode>0.0000</c:formatCode>
                <c:ptCount val="20"/>
                <c:pt idx="0">
                  <c:v>33.320000000000007</c:v>
                </c:pt>
                <c:pt idx="1">
                  <c:v>33.320000000000007</c:v>
                </c:pt>
                <c:pt idx="2">
                  <c:v>33.320000000000007</c:v>
                </c:pt>
                <c:pt idx="3">
                  <c:v>33.320000000000007</c:v>
                </c:pt>
                <c:pt idx="4">
                  <c:v>33.320000000000007</c:v>
                </c:pt>
                <c:pt idx="5">
                  <c:v>33.320000000000007</c:v>
                </c:pt>
                <c:pt idx="6">
                  <c:v>33.320000000000007</c:v>
                </c:pt>
                <c:pt idx="7">
                  <c:v>33.320000000000007</c:v>
                </c:pt>
                <c:pt idx="8">
                  <c:v>33.320000000000007</c:v>
                </c:pt>
                <c:pt idx="9">
                  <c:v>33.320000000000007</c:v>
                </c:pt>
                <c:pt idx="10">
                  <c:v>33.320000000000007</c:v>
                </c:pt>
                <c:pt idx="11">
                  <c:v>33.320000000000007</c:v>
                </c:pt>
                <c:pt idx="12">
                  <c:v>33.320000000000007</c:v>
                </c:pt>
                <c:pt idx="13">
                  <c:v>33.320000000000007</c:v>
                </c:pt>
                <c:pt idx="14">
                  <c:v>33.320000000000007</c:v>
                </c:pt>
                <c:pt idx="15">
                  <c:v>33.320000000000007</c:v>
                </c:pt>
                <c:pt idx="16">
                  <c:v>33.320000000000007</c:v>
                </c:pt>
                <c:pt idx="17">
                  <c:v>33.320000000000007</c:v>
                </c:pt>
                <c:pt idx="18">
                  <c:v>33.320000000000007</c:v>
                </c:pt>
                <c:pt idx="19">
                  <c:v>33.320000000000007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5-F342-8A4D-86F98295A007}"/>
            </c:ext>
          </c:extLst>
        </c:ser>
        <c:ser>
          <c:idx val="3"/>
          <c:order val="3"/>
          <c:tx>
            <c:strRef>
              <c:f>VaneOpening!$O$25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VaneOpening!$O$26:$O$45</c:f>
              <c:numCache>
                <c:formatCode>0.0000</c:formatCode>
                <c:ptCount val="20"/>
                <c:pt idx="0">
                  <c:v>29.973400000000009</c:v>
                </c:pt>
                <c:pt idx="1">
                  <c:v>29.973400000000009</c:v>
                </c:pt>
                <c:pt idx="2">
                  <c:v>29.973400000000009</c:v>
                </c:pt>
                <c:pt idx="3">
                  <c:v>29.973400000000009</c:v>
                </c:pt>
                <c:pt idx="4">
                  <c:v>29.973400000000009</c:v>
                </c:pt>
                <c:pt idx="5">
                  <c:v>29.973400000000009</c:v>
                </c:pt>
                <c:pt idx="6">
                  <c:v>29.973400000000009</c:v>
                </c:pt>
                <c:pt idx="7">
                  <c:v>29.973400000000009</c:v>
                </c:pt>
                <c:pt idx="8">
                  <c:v>29.973400000000009</c:v>
                </c:pt>
                <c:pt idx="9">
                  <c:v>29.973400000000009</c:v>
                </c:pt>
                <c:pt idx="10">
                  <c:v>29.973400000000009</c:v>
                </c:pt>
                <c:pt idx="11">
                  <c:v>29.973400000000009</c:v>
                </c:pt>
                <c:pt idx="12">
                  <c:v>29.973400000000009</c:v>
                </c:pt>
                <c:pt idx="13">
                  <c:v>29.973400000000009</c:v>
                </c:pt>
                <c:pt idx="14">
                  <c:v>29.973400000000009</c:v>
                </c:pt>
                <c:pt idx="15">
                  <c:v>29.973400000000009</c:v>
                </c:pt>
                <c:pt idx="16">
                  <c:v>29.973400000000009</c:v>
                </c:pt>
                <c:pt idx="17">
                  <c:v>29.973400000000009</c:v>
                </c:pt>
                <c:pt idx="18">
                  <c:v>29.973400000000009</c:v>
                </c:pt>
                <c:pt idx="19">
                  <c:v>29.973400000000009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F5-F342-8A4D-86F98295A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857920"/>
        <c:axId val="1083589952"/>
      </c:lineChart>
      <c:catAx>
        <c:axId val="109085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83589952"/>
        <c:crosses val="autoZero"/>
        <c:auto val="1"/>
        <c:lblAlgn val="ctr"/>
        <c:lblOffset val="100"/>
        <c:noMultiLvlLbl val="0"/>
      </c:catAx>
      <c:valAx>
        <c:axId val="10835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0908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4.png"/><Relationship Id="rId7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741360</xdr:colOff>
      <xdr:row>1</xdr:row>
      <xdr:rowOff>0</xdr:rowOff>
    </xdr:from>
    <xdr:to>
      <xdr:col>15</xdr:col>
      <xdr:colOff>704849</xdr:colOff>
      <xdr:row>18</xdr:row>
      <xdr:rowOff>76198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7C1A6-24A5-4F27-965D-20363FFAB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53976</xdr:rowOff>
    </xdr:from>
    <xdr:to>
      <xdr:col>11</xdr:col>
      <xdr:colOff>63500</xdr:colOff>
      <xdr:row>36</xdr:row>
      <xdr:rowOff>46788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9336D-E6FF-4E47-A77D-4A47320F0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53976"/>
          <a:ext cx="6692900" cy="65079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153866</xdr:colOff>
      <xdr:row>2</xdr:row>
      <xdr:rowOff>40786</xdr:rowOff>
    </xdr:from>
    <xdr:to>
      <xdr:col>17</xdr:col>
      <xdr:colOff>315790</xdr:colOff>
      <xdr:row>4</xdr:row>
      <xdr:rowOff>19782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369C51-3AB6-4103-A8EC-F64C2EA76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8039" y="619613"/>
          <a:ext cx="3162788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175846</xdr:colOff>
      <xdr:row>7</xdr:row>
      <xdr:rowOff>51288</xdr:rowOff>
    </xdr:from>
    <xdr:to>
      <xdr:col>16</xdr:col>
      <xdr:colOff>296496</xdr:colOff>
      <xdr:row>8</xdr:row>
      <xdr:rowOff>142387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9EC352-BC60-4443-82E0-B65C85950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0019" y="1619250"/>
          <a:ext cx="2527056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158017</xdr:colOff>
      <xdr:row>12</xdr:row>
      <xdr:rowOff>36635</xdr:rowOff>
    </xdr:from>
    <xdr:to>
      <xdr:col>19</xdr:col>
      <xdr:colOff>285017</xdr:colOff>
      <xdr:row>14</xdr:row>
      <xdr:rowOff>60081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962C90-8079-4D40-A101-6B92E19CD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2190" y="2593731"/>
          <a:ext cx="4332654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152401</xdr:colOff>
      <xdr:row>17</xdr:row>
      <xdr:rowOff>28575</xdr:rowOff>
    </xdr:from>
    <xdr:to>
      <xdr:col>18</xdr:col>
      <xdr:colOff>304801</xdr:colOff>
      <xdr:row>19</xdr:row>
      <xdr:rowOff>87891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88347-3ECE-4E47-9F8C-41F48A3C9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34376" y="3609975"/>
          <a:ext cx="3752850" cy="459366"/>
        </a:xfrm>
        <a:prstGeom prst="rect">
          <a:avLst/>
        </a:prstGeom>
      </xdr:spPr>
    </xdr:pic>
    <xdr:clientData/>
  </xdr:twoCellAnchor>
  <xdr:twoCellAnchor>
    <xdr:from>
      <xdr:col>13</xdr:col>
      <xdr:colOff>208091</xdr:colOff>
      <xdr:row>52</xdr:row>
      <xdr:rowOff>194039</xdr:rowOff>
    </xdr:from>
    <xdr:to>
      <xdr:col>18</xdr:col>
      <xdr:colOff>645409</xdr:colOff>
      <xdr:row>66</xdr:row>
      <xdr:rowOff>187377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63EA5C-3A0E-F548-0E1C-A96EAFD1B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649724</xdr:colOff>
      <xdr:row>49</xdr:row>
      <xdr:rowOff>91661</xdr:rowOff>
    </xdr:from>
    <xdr:to>
      <xdr:col>31</xdr:col>
      <xdr:colOff>583463</xdr:colOff>
      <xdr:row>63</xdr:row>
      <xdr:rowOff>369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3CB282-A4EA-8E04-1D90-1C1995984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623186</xdr:colOff>
      <xdr:row>25</xdr:row>
      <xdr:rowOff>186364</xdr:rowOff>
    </xdr:from>
    <xdr:to>
      <xdr:col>31</xdr:col>
      <xdr:colOff>543442</xdr:colOff>
      <xdr:row>39</xdr:row>
      <xdr:rowOff>35145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BF5CD9-1BED-DCB8-D773-DD80C1566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76791</xdr:colOff>
      <xdr:row>29</xdr:row>
      <xdr:rowOff>142063</xdr:rowOff>
    </xdr:from>
    <xdr:to>
      <xdr:col>18</xdr:col>
      <xdr:colOff>661581</xdr:colOff>
      <xdr:row>42</xdr:row>
      <xdr:rowOff>197589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F042AD-687F-8A3C-83D9-1E98E1710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0D26-1B0E-48ED-9817-104C82E8F6BD}">
  <dimension ref="A1:D11"/>
  <sheetViews>
    <sheetView zoomScale="140" workbookViewId="0">
      <selection activeCell="D12" sqref="D12"/>
    </sheetView>
  </sheetViews>
  <sheetFormatPr baseColWidth="10" defaultColWidth="10.6640625" defaultRowHeight="16" customHeight="1" x14ac:dyDescent="0.2"/>
  <cols>
    <col min="1" max="1" width="20.6640625" style="5" customWidth="1"/>
  </cols>
  <sheetData>
    <row r="1" spans="1:4" ht="16" customHeight="1" x14ac:dyDescent="0.2">
      <c r="A1" s="6" t="s">
        <v>9</v>
      </c>
      <c r="B1" s="4">
        <v>74</v>
      </c>
    </row>
    <row r="2" spans="1:4" ht="16" customHeight="1" x14ac:dyDescent="0.2">
      <c r="A2" s="6" t="s">
        <v>10</v>
      </c>
      <c r="B2" s="4">
        <v>0.01</v>
      </c>
    </row>
    <row r="3" spans="1:4" ht="16" customHeight="1" x14ac:dyDescent="0.2">
      <c r="A3" s="6" t="s">
        <v>2</v>
      </c>
      <c r="B3" s="4">
        <v>5</v>
      </c>
    </row>
    <row r="4" spans="1:4" ht="16" customHeight="1" x14ac:dyDescent="0.2">
      <c r="A4" s="6" t="s">
        <v>11</v>
      </c>
      <c r="B4" s="8">
        <f>B2/SQRT(B3)</f>
        <v>4.4721359549995789E-3</v>
      </c>
      <c r="D4" t="s">
        <v>35</v>
      </c>
    </row>
    <row r="6" spans="1:4" ht="16" customHeight="1" x14ac:dyDescent="0.2">
      <c r="A6" s="9" t="s">
        <v>6</v>
      </c>
    </row>
    <row r="7" spans="1:4" ht="16" customHeight="1" x14ac:dyDescent="0.2">
      <c r="A7" s="6" t="s">
        <v>3</v>
      </c>
      <c r="B7" s="8">
        <f>B1+3*B4</f>
        <v>74.013416407864995</v>
      </c>
      <c r="D7" t="s">
        <v>36</v>
      </c>
    </row>
    <row r="8" spans="1:4" ht="16" customHeight="1" x14ac:dyDescent="0.2">
      <c r="A8" s="6" t="s">
        <v>4</v>
      </c>
      <c r="B8" s="8">
        <f>B1</f>
        <v>74</v>
      </c>
      <c r="D8" t="s">
        <v>38</v>
      </c>
    </row>
    <row r="9" spans="1:4" ht="16" customHeight="1" x14ac:dyDescent="0.2">
      <c r="A9" s="6" t="s">
        <v>5</v>
      </c>
      <c r="B9" s="8">
        <f>B1-3*B4</f>
        <v>73.986583592135005</v>
      </c>
      <c r="D9" t="s">
        <v>37</v>
      </c>
    </row>
    <row r="11" spans="1:4" ht="16" customHeight="1" x14ac:dyDescent="0.2">
      <c r="D1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6FE8-D1BD-4274-A678-FAD88E73FFE1}">
  <dimension ref="A1:H21"/>
  <sheetViews>
    <sheetView topLeftCell="C1" zoomScale="117" workbookViewId="0">
      <selection activeCell="G12" sqref="G12"/>
    </sheetView>
  </sheetViews>
  <sheetFormatPr baseColWidth="10" defaultColWidth="10.6640625" defaultRowHeight="16" customHeight="1" x14ac:dyDescent="0.2"/>
  <cols>
    <col min="1" max="2" width="10.6640625" style="1"/>
    <col min="3" max="5" width="10.6640625" style="10"/>
    <col min="7" max="7" width="20.6640625" customWidth="1"/>
  </cols>
  <sheetData>
    <row r="1" spans="1:8" ht="16" customHeight="1" x14ac:dyDescent="0.2">
      <c r="A1" s="2" t="s">
        <v>0</v>
      </c>
      <c r="B1" s="2" t="s">
        <v>1</v>
      </c>
      <c r="C1" s="12" t="s">
        <v>12</v>
      </c>
      <c r="D1" s="12" t="s">
        <v>13</v>
      </c>
      <c r="E1" s="12" t="s">
        <v>14</v>
      </c>
      <c r="G1" s="6" t="s">
        <v>2</v>
      </c>
      <c r="H1" s="7">
        <f>COUNT(B2:B21)</f>
        <v>20</v>
      </c>
    </row>
    <row r="2" spans="1:8" ht="16" customHeight="1" x14ac:dyDescent="0.2">
      <c r="A2" s="3">
        <v>1</v>
      </c>
      <c r="B2" s="3">
        <v>378</v>
      </c>
      <c r="C2" s="11">
        <f>$H$7</f>
        <v>505.21197030564468</v>
      </c>
      <c r="D2" s="11">
        <f>$H$8</f>
        <v>480.1</v>
      </c>
      <c r="E2" s="11">
        <f>$H$9</f>
        <v>454.98802969435536</v>
      </c>
      <c r="G2" s="6" t="s">
        <v>8</v>
      </c>
      <c r="H2" s="7">
        <f>AVERAGE(B2:B21)</f>
        <v>480.1</v>
      </c>
    </row>
    <row r="3" spans="1:8" ht="16" customHeight="1" x14ac:dyDescent="0.2">
      <c r="A3" s="3">
        <v>2</v>
      </c>
      <c r="B3" s="3">
        <v>438</v>
      </c>
      <c r="C3" s="11">
        <f t="shared" ref="C3:C21" si="0">$H$7</f>
        <v>505.21197030564468</v>
      </c>
      <c r="D3" s="11">
        <f t="shared" ref="D3:D21" si="1">$H$8</f>
        <v>480.1</v>
      </c>
      <c r="E3" s="11">
        <f t="shared" ref="E3:E21" si="2">$H$9</f>
        <v>454.98802969435536</v>
      </c>
      <c r="G3" s="6" t="s">
        <v>7</v>
      </c>
      <c r="H3" s="8">
        <f>_xlfn.STDEV.S(B2:B21)</f>
        <v>37.434715101585084</v>
      </c>
    </row>
    <row r="4" spans="1:8" ht="16" customHeight="1" x14ac:dyDescent="0.2">
      <c r="A4" s="3">
        <v>3</v>
      </c>
      <c r="B4" s="3">
        <v>487</v>
      </c>
      <c r="C4" s="11">
        <f t="shared" si="0"/>
        <v>505.21197030564468</v>
      </c>
      <c r="D4" s="11">
        <f t="shared" si="1"/>
        <v>480.1</v>
      </c>
      <c r="E4" s="11">
        <f t="shared" si="2"/>
        <v>454.98802969435536</v>
      </c>
      <c r="G4" s="6" t="s">
        <v>11</v>
      </c>
      <c r="H4" s="8">
        <f>H3/SQRT(H1)</f>
        <v>8.3706567685482192</v>
      </c>
    </row>
    <row r="5" spans="1:8" ht="16" customHeight="1" x14ac:dyDescent="0.2">
      <c r="A5" s="3">
        <v>4</v>
      </c>
      <c r="B5" s="3">
        <v>515</v>
      </c>
      <c r="C5" s="11">
        <f t="shared" si="0"/>
        <v>505.21197030564468</v>
      </c>
      <c r="D5" s="11">
        <f t="shared" si="1"/>
        <v>480.1</v>
      </c>
      <c r="E5" s="11">
        <f t="shared" si="2"/>
        <v>454.98802969435536</v>
      </c>
      <c r="G5" s="5"/>
    </row>
    <row r="6" spans="1:8" ht="16" customHeight="1" x14ac:dyDescent="0.2">
      <c r="A6" s="3">
        <v>5</v>
      </c>
      <c r="B6" s="3">
        <v>485</v>
      </c>
      <c r="C6" s="11">
        <f t="shared" si="0"/>
        <v>505.21197030564468</v>
      </c>
      <c r="D6" s="11">
        <f t="shared" si="1"/>
        <v>480.1</v>
      </c>
      <c r="E6" s="11">
        <f t="shared" si="2"/>
        <v>454.98802969435536</v>
      </c>
      <c r="G6" s="9" t="s">
        <v>6</v>
      </c>
    </row>
    <row r="7" spans="1:8" ht="16" customHeight="1" x14ac:dyDescent="0.2">
      <c r="A7" s="3">
        <v>6</v>
      </c>
      <c r="B7" s="3">
        <v>474</v>
      </c>
      <c r="C7" s="11">
        <f t="shared" si="0"/>
        <v>505.21197030564468</v>
      </c>
      <c r="D7" s="11">
        <f t="shared" si="1"/>
        <v>480.1</v>
      </c>
      <c r="E7" s="11">
        <f t="shared" si="2"/>
        <v>454.98802969435536</v>
      </c>
      <c r="G7" s="6" t="s">
        <v>3</v>
      </c>
      <c r="H7" s="8">
        <f>H2+3*H4</f>
        <v>505.21197030564468</v>
      </c>
    </row>
    <row r="8" spans="1:8" ht="16" customHeight="1" x14ac:dyDescent="0.2">
      <c r="A8" s="3">
        <v>7</v>
      </c>
      <c r="B8" s="3">
        <v>486</v>
      </c>
      <c r="C8" s="11">
        <f t="shared" si="0"/>
        <v>505.21197030564468</v>
      </c>
      <c r="D8" s="11">
        <f t="shared" si="1"/>
        <v>480.1</v>
      </c>
      <c r="E8" s="11">
        <f t="shared" si="2"/>
        <v>454.98802969435536</v>
      </c>
      <c r="G8" s="6" t="s">
        <v>4</v>
      </c>
      <c r="H8" s="8">
        <f>H2</f>
        <v>480.1</v>
      </c>
    </row>
    <row r="9" spans="1:8" ht="16" customHeight="1" x14ac:dyDescent="0.2">
      <c r="A9" s="3">
        <v>8</v>
      </c>
      <c r="B9" s="3">
        <v>548</v>
      </c>
      <c r="C9" s="11">
        <f t="shared" si="0"/>
        <v>505.21197030564468</v>
      </c>
      <c r="D9" s="11">
        <f t="shared" si="1"/>
        <v>480.1</v>
      </c>
      <c r="E9" s="11">
        <f t="shared" si="2"/>
        <v>454.98802969435536</v>
      </c>
      <c r="G9" s="6" t="s">
        <v>5</v>
      </c>
      <c r="H9" s="8">
        <f>H2-3*H4</f>
        <v>454.98802969435536</v>
      </c>
    </row>
    <row r="10" spans="1:8" ht="16" customHeight="1" x14ac:dyDescent="0.2">
      <c r="A10" s="3">
        <v>9</v>
      </c>
      <c r="B10" s="3">
        <v>502</v>
      </c>
      <c r="C10" s="11">
        <f t="shared" si="0"/>
        <v>505.21197030564468</v>
      </c>
      <c r="D10" s="11">
        <f t="shared" si="1"/>
        <v>480.1</v>
      </c>
      <c r="E10" s="11">
        <f t="shared" si="2"/>
        <v>454.98802969435536</v>
      </c>
    </row>
    <row r="11" spans="1:8" ht="16" customHeight="1" x14ac:dyDescent="0.2">
      <c r="A11" s="3">
        <v>10</v>
      </c>
      <c r="B11" s="3">
        <v>440</v>
      </c>
      <c r="C11" s="11">
        <f t="shared" si="0"/>
        <v>505.21197030564468</v>
      </c>
      <c r="D11" s="11">
        <f t="shared" si="1"/>
        <v>480.1</v>
      </c>
      <c r="E11" s="11">
        <f t="shared" si="2"/>
        <v>454.98802969435536</v>
      </c>
      <c r="G11" s="17" t="s">
        <v>39</v>
      </c>
    </row>
    <row r="12" spans="1:8" ht="16" customHeight="1" x14ac:dyDescent="0.2">
      <c r="A12" s="3">
        <v>11</v>
      </c>
      <c r="B12" s="3">
        <v>462</v>
      </c>
      <c r="C12" s="11">
        <f t="shared" si="0"/>
        <v>505.21197030564468</v>
      </c>
      <c r="D12" s="11">
        <f t="shared" si="1"/>
        <v>480.1</v>
      </c>
      <c r="E12" s="11">
        <f t="shared" si="2"/>
        <v>454.98802969435536</v>
      </c>
    </row>
    <row r="13" spans="1:8" ht="16" customHeight="1" x14ac:dyDescent="0.2">
      <c r="A13" s="3">
        <v>12</v>
      </c>
      <c r="B13" s="3">
        <v>502</v>
      </c>
      <c r="C13" s="11">
        <f t="shared" si="0"/>
        <v>505.21197030564468</v>
      </c>
      <c r="D13" s="11">
        <f t="shared" si="1"/>
        <v>480.1</v>
      </c>
      <c r="E13" s="11">
        <f t="shared" si="2"/>
        <v>454.98802969435536</v>
      </c>
    </row>
    <row r="14" spans="1:8" ht="16" customHeight="1" x14ac:dyDescent="0.2">
      <c r="A14" s="3">
        <v>13</v>
      </c>
      <c r="B14" s="3">
        <v>449</v>
      </c>
      <c r="C14" s="11">
        <f t="shared" si="0"/>
        <v>505.21197030564468</v>
      </c>
      <c r="D14" s="11">
        <f t="shared" si="1"/>
        <v>480.1</v>
      </c>
      <c r="E14" s="11">
        <f t="shared" si="2"/>
        <v>454.98802969435536</v>
      </c>
    </row>
    <row r="15" spans="1:8" ht="16" customHeight="1" x14ac:dyDescent="0.2">
      <c r="A15" s="3">
        <v>14</v>
      </c>
      <c r="B15" s="3">
        <v>470</v>
      </c>
      <c r="C15" s="11">
        <f t="shared" si="0"/>
        <v>505.21197030564468</v>
      </c>
      <c r="D15" s="11">
        <f t="shared" si="1"/>
        <v>480.1</v>
      </c>
      <c r="E15" s="11">
        <f t="shared" si="2"/>
        <v>454.98802969435536</v>
      </c>
    </row>
    <row r="16" spans="1:8" ht="16" customHeight="1" x14ac:dyDescent="0.2">
      <c r="A16" s="3">
        <v>15</v>
      </c>
      <c r="B16" s="3">
        <v>501</v>
      </c>
      <c r="C16" s="11">
        <f t="shared" si="0"/>
        <v>505.21197030564468</v>
      </c>
      <c r="D16" s="11">
        <f t="shared" si="1"/>
        <v>480.1</v>
      </c>
      <c r="E16" s="11">
        <f t="shared" si="2"/>
        <v>454.98802969435536</v>
      </c>
    </row>
    <row r="17" spans="1:5" ht="16" customHeight="1" x14ac:dyDescent="0.2">
      <c r="A17" s="3">
        <v>16</v>
      </c>
      <c r="B17" s="3">
        <v>470</v>
      </c>
      <c r="C17" s="11">
        <f t="shared" si="0"/>
        <v>505.21197030564468</v>
      </c>
      <c r="D17" s="11">
        <f t="shared" si="1"/>
        <v>480.1</v>
      </c>
      <c r="E17" s="11">
        <f t="shared" si="2"/>
        <v>454.98802969435536</v>
      </c>
    </row>
    <row r="18" spans="1:5" ht="16" customHeight="1" x14ac:dyDescent="0.2">
      <c r="A18" s="3">
        <v>17</v>
      </c>
      <c r="B18" s="3">
        <v>512</v>
      </c>
      <c r="C18" s="11">
        <f t="shared" si="0"/>
        <v>505.21197030564468</v>
      </c>
      <c r="D18" s="11">
        <f t="shared" si="1"/>
        <v>480.1</v>
      </c>
      <c r="E18" s="11">
        <f t="shared" si="2"/>
        <v>454.98802969435536</v>
      </c>
    </row>
    <row r="19" spans="1:5" ht="16" customHeight="1" x14ac:dyDescent="0.2">
      <c r="A19" s="3">
        <v>18</v>
      </c>
      <c r="B19" s="3">
        <v>530</v>
      </c>
      <c r="C19" s="11">
        <f t="shared" si="0"/>
        <v>505.21197030564468</v>
      </c>
      <c r="D19" s="11">
        <f t="shared" si="1"/>
        <v>480.1</v>
      </c>
      <c r="E19" s="11">
        <f t="shared" si="2"/>
        <v>454.98802969435536</v>
      </c>
    </row>
    <row r="20" spans="1:5" ht="16" customHeight="1" x14ac:dyDescent="0.2">
      <c r="A20" s="3">
        <v>19</v>
      </c>
      <c r="B20" s="3">
        <v>462</v>
      </c>
      <c r="C20" s="11">
        <f t="shared" si="0"/>
        <v>505.21197030564468</v>
      </c>
      <c r="D20" s="11">
        <f t="shared" si="1"/>
        <v>480.1</v>
      </c>
      <c r="E20" s="11">
        <f t="shared" si="2"/>
        <v>454.98802969435536</v>
      </c>
    </row>
    <row r="21" spans="1:5" ht="16" customHeight="1" x14ac:dyDescent="0.2">
      <c r="A21" s="3">
        <v>20</v>
      </c>
      <c r="B21" s="3">
        <v>491</v>
      </c>
      <c r="C21" s="11">
        <f t="shared" si="0"/>
        <v>505.21197030564468</v>
      </c>
      <c r="D21" s="11">
        <f t="shared" si="1"/>
        <v>480.1</v>
      </c>
      <c r="E21" s="11">
        <f t="shared" si="2"/>
        <v>454.98802969435536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B32A-532F-441E-885D-49D3815E04D4}">
  <dimension ref="A1"/>
  <sheetViews>
    <sheetView topLeftCell="A21" zoomScale="131" workbookViewId="0">
      <selection activeCell="P33" sqref="P33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A171-A4A1-4248-8B86-6D8F743382B8}">
  <dimension ref="A1:X68"/>
  <sheetViews>
    <sheetView tabSelected="1" topLeftCell="I44" zoomScale="61" zoomScaleNormal="100" workbookViewId="0">
      <selection activeCell="P27" sqref="P27"/>
    </sheetView>
  </sheetViews>
  <sheetFormatPr baseColWidth="10" defaultColWidth="8.6640625" defaultRowHeight="16" customHeight="1" x14ac:dyDescent="0.2"/>
  <cols>
    <col min="11" max="11" width="20.6640625" customWidth="1"/>
    <col min="12" max="12" width="10.6640625" customWidth="1"/>
  </cols>
  <sheetData>
    <row r="1" spans="1:12" ht="30" customHeight="1" x14ac:dyDescent="0.2">
      <c r="A1" s="13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3" t="s">
        <v>21</v>
      </c>
      <c r="H1" s="14" t="s">
        <v>22</v>
      </c>
      <c r="I1" s="14" t="s">
        <v>23</v>
      </c>
    </row>
    <row r="2" spans="1:12" ht="16" customHeight="1" x14ac:dyDescent="0.2">
      <c r="A2" s="3">
        <v>1</v>
      </c>
      <c r="B2" s="3">
        <v>33</v>
      </c>
      <c r="C2" s="3">
        <v>29</v>
      </c>
      <c r="D2" s="3">
        <v>31</v>
      </c>
      <c r="E2" s="3">
        <v>32</v>
      </c>
      <c r="F2" s="3">
        <v>33</v>
      </c>
      <c r="G2" s="15">
        <f>AVERAGE(B2:F2)</f>
        <v>31.6</v>
      </c>
      <c r="H2" s="16">
        <f>MAX(B2:F2)-MIN(B2:F2)</f>
        <v>4</v>
      </c>
      <c r="I2" s="11">
        <f>_xlfn.STDEV.S(B2:F2)</f>
        <v>1.6733200530681511</v>
      </c>
      <c r="K2" s="9" t="s">
        <v>27</v>
      </c>
    </row>
    <row r="3" spans="1:12" ht="16" customHeight="1" x14ac:dyDescent="0.2">
      <c r="A3" s="3">
        <v>2</v>
      </c>
      <c r="B3" s="3">
        <v>33</v>
      </c>
      <c r="C3" s="3">
        <v>31</v>
      </c>
      <c r="D3" s="3">
        <v>35</v>
      </c>
      <c r="E3" s="3">
        <v>37</v>
      </c>
      <c r="F3" s="3">
        <v>31</v>
      </c>
      <c r="G3" s="15">
        <f t="shared" ref="G3:G21" si="0">AVERAGE(B3:F3)</f>
        <v>33.4</v>
      </c>
      <c r="H3" s="16">
        <f t="shared" ref="H3:H21" si="1">MAX(B3:F3)-MIN(B3:F3)</f>
        <v>6</v>
      </c>
      <c r="I3" s="11">
        <f t="shared" ref="I3:I21" si="2">_xlfn.STDEV.S(B3:F3)</f>
        <v>2.6076809620810595</v>
      </c>
      <c r="K3" s="6" t="s">
        <v>3</v>
      </c>
      <c r="L3" s="8">
        <f>G24+H26*H24</f>
        <v>36.66660000000001</v>
      </c>
    </row>
    <row r="4" spans="1:12" ht="16" customHeight="1" x14ac:dyDescent="0.2">
      <c r="A4" s="3">
        <v>3</v>
      </c>
      <c r="B4" s="3">
        <v>35</v>
      </c>
      <c r="C4" s="3">
        <v>37</v>
      </c>
      <c r="D4" s="3">
        <v>33</v>
      </c>
      <c r="E4" s="3">
        <v>34</v>
      </c>
      <c r="F4" s="3">
        <v>36</v>
      </c>
      <c r="G4" s="15">
        <f t="shared" si="0"/>
        <v>35</v>
      </c>
      <c r="H4" s="16">
        <f t="shared" si="1"/>
        <v>4</v>
      </c>
      <c r="I4" s="11">
        <f t="shared" si="2"/>
        <v>1.5811388300841898</v>
      </c>
      <c r="K4" s="6" t="s">
        <v>4</v>
      </c>
      <c r="L4" s="8">
        <f>G24</f>
        <v>33.320000000000007</v>
      </c>
    </row>
    <row r="5" spans="1:12" ht="16" customHeight="1" x14ac:dyDescent="0.2">
      <c r="A5" s="3">
        <v>4</v>
      </c>
      <c r="B5" s="3">
        <v>30</v>
      </c>
      <c r="C5" s="3">
        <v>31</v>
      </c>
      <c r="D5" s="3">
        <v>33</v>
      </c>
      <c r="E5" s="3">
        <v>34</v>
      </c>
      <c r="F5" s="3">
        <v>33</v>
      </c>
      <c r="G5" s="15">
        <f t="shared" si="0"/>
        <v>32.200000000000003</v>
      </c>
      <c r="H5" s="16">
        <f t="shared" si="1"/>
        <v>4</v>
      </c>
      <c r="I5" s="11">
        <f t="shared" si="2"/>
        <v>1.6431676725154982</v>
      </c>
      <c r="K5" s="6" t="s">
        <v>5</v>
      </c>
      <c r="L5" s="8">
        <f>G24-H26*H24</f>
        <v>29.973400000000009</v>
      </c>
    </row>
    <row r="6" spans="1:12" ht="16" customHeight="1" x14ac:dyDescent="0.2">
      <c r="A6" s="3">
        <v>5</v>
      </c>
      <c r="B6" s="3">
        <v>33</v>
      </c>
      <c r="C6" s="3">
        <v>34</v>
      </c>
      <c r="D6" s="3">
        <v>35</v>
      </c>
      <c r="E6" s="3">
        <v>33</v>
      </c>
      <c r="F6" s="3">
        <v>34</v>
      </c>
      <c r="G6" s="15">
        <f t="shared" si="0"/>
        <v>33.799999999999997</v>
      </c>
      <c r="H6" s="16">
        <f t="shared" si="1"/>
        <v>2</v>
      </c>
      <c r="I6" s="11">
        <f t="shared" si="2"/>
        <v>0.83666002653407556</v>
      </c>
    </row>
    <row r="7" spans="1:12" ht="16" customHeight="1" x14ac:dyDescent="0.2">
      <c r="A7" s="3">
        <v>6</v>
      </c>
      <c r="B7" s="3">
        <v>38</v>
      </c>
      <c r="C7" s="3">
        <v>37</v>
      </c>
      <c r="D7" s="3">
        <v>39</v>
      </c>
      <c r="E7" s="3">
        <v>40</v>
      </c>
      <c r="F7" s="3">
        <v>38</v>
      </c>
      <c r="G7" s="15">
        <f t="shared" si="0"/>
        <v>38.4</v>
      </c>
      <c r="H7" s="16">
        <f t="shared" si="1"/>
        <v>3</v>
      </c>
      <c r="I7" s="11">
        <f t="shared" si="2"/>
        <v>1.1401754250991381</v>
      </c>
      <c r="K7" s="9" t="s">
        <v>29</v>
      </c>
    </row>
    <row r="8" spans="1:12" ht="16" customHeight="1" x14ac:dyDescent="0.2">
      <c r="A8" s="3">
        <v>7</v>
      </c>
      <c r="B8" s="3">
        <v>30</v>
      </c>
      <c r="C8" s="3">
        <v>31</v>
      </c>
      <c r="D8" s="3">
        <v>32</v>
      </c>
      <c r="E8" s="3">
        <v>34</v>
      </c>
      <c r="F8" s="3">
        <v>31</v>
      </c>
      <c r="G8" s="15">
        <f t="shared" si="0"/>
        <v>31.6</v>
      </c>
      <c r="H8" s="16">
        <f t="shared" si="1"/>
        <v>4</v>
      </c>
      <c r="I8" s="11">
        <f t="shared" si="2"/>
        <v>1.51657508881031</v>
      </c>
      <c r="K8" s="6" t="s">
        <v>3</v>
      </c>
      <c r="L8" s="8">
        <f>H28*H24</f>
        <v>12.261199999999999</v>
      </c>
    </row>
    <row r="9" spans="1:12" ht="16" customHeight="1" x14ac:dyDescent="0.2">
      <c r="A9" s="3">
        <v>8</v>
      </c>
      <c r="B9" s="3">
        <v>29</v>
      </c>
      <c r="C9" s="3">
        <v>39</v>
      </c>
      <c r="D9" s="3">
        <v>38</v>
      </c>
      <c r="E9" s="3">
        <v>39</v>
      </c>
      <c r="F9" s="3">
        <v>39</v>
      </c>
      <c r="G9" s="15">
        <f t="shared" si="0"/>
        <v>36.799999999999997</v>
      </c>
      <c r="H9" s="16">
        <f t="shared" si="1"/>
        <v>10</v>
      </c>
      <c r="I9" s="11">
        <f t="shared" si="2"/>
        <v>4.3817804600413339</v>
      </c>
      <c r="K9" s="6" t="s">
        <v>4</v>
      </c>
      <c r="L9" s="8">
        <f>H24</f>
        <v>5.8</v>
      </c>
    </row>
    <row r="10" spans="1:12" ht="16" customHeight="1" x14ac:dyDescent="0.2">
      <c r="A10" s="3">
        <v>9</v>
      </c>
      <c r="B10" s="3">
        <v>28</v>
      </c>
      <c r="C10" s="3">
        <v>33</v>
      </c>
      <c r="D10" s="3">
        <v>35</v>
      </c>
      <c r="E10" s="3">
        <v>36</v>
      </c>
      <c r="F10" s="3">
        <v>43</v>
      </c>
      <c r="G10" s="15">
        <f t="shared" si="0"/>
        <v>35</v>
      </c>
      <c r="H10" s="16">
        <f t="shared" si="1"/>
        <v>15</v>
      </c>
      <c r="I10" s="11">
        <f t="shared" si="2"/>
        <v>5.4313902456001077</v>
      </c>
      <c r="K10" s="6" t="s">
        <v>5</v>
      </c>
      <c r="L10" s="8">
        <f>H27*H24</f>
        <v>0</v>
      </c>
    </row>
    <row r="11" spans="1:12" ht="16" customHeight="1" x14ac:dyDescent="0.2">
      <c r="A11" s="3">
        <v>10</v>
      </c>
      <c r="B11" s="3">
        <v>38</v>
      </c>
      <c r="C11" s="3">
        <v>33</v>
      </c>
      <c r="D11" s="3">
        <v>32</v>
      </c>
      <c r="E11" s="3">
        <v>35</v>
      </c>
      <c r="F11" s="3">
        <v>32</v>
      </c>
      <c r="G11" s="15">
        <f t="shared" si="0"/>
        <v>34</v>
      </c>
      <c r="H11" s="16">
        <f t="shared" si="1"/>
        <v>6</v>
      </c>
      <c r="I11" s="11">
        <f t="shared" si="2"/>
        <v>2.5495097567963922</v>
      </c>
    </row>
    <row r="12" spans="1:12" ht="16" customHeight="1" x14ac:dyDescent="0.2">
      <c r="A12" s="3">
        <v>11</v>
      </c>
      <c r="B12" s="3">
        <v>28</v>
      </c>
      <c r="C12" s="3">
        <v>30</v>
      </c>
      <c r="D12" s="3">
        <v>28</v>
      </c>
      <c r="E12" s="3">
        <v>32</v>
      </c>
      <c r="F12" s="3">
        <v>31</v>
      </c>
      <c r="G12" s="15">
        <f t="shared" si="0"/>
        <v>29.8</v>
      </c>
      <c r="H12" s="16">
        <f t="shared" si="1"/>
        <v>4</v>
      </c>
      <c r="I12" s="11">
        <f t="shared" si="2"/>
        <v>1.7888543819998317</v>
      </c>
      <c r="K12" s="9" t="s">
        <v>28</v>
      </c>
    </row>
    <row r="13" spans="1:12" ht="16" customHeight="1" x14ac:dyDescent="0.2">
      <c r="A13" s="3">
        <v>12</v>
      </c>
      <c r="B13" s="3">
        <v>31</v>
      </c>
      <c r="C13" s="3">
        <v>35</v>
      </c>
      <c r="D13" s="3">
        <v>35</v>
      </c>
      <c r="E13" s="3">
        <v>35</v>
      </c>
      <c r="F13" s="3">
        <v>34</v>
      </c>
      <c r="G13" s="15">
        <f t="shared" si="0"/>
        <v>34</v>
      </c>
      <c r="H13" s="16">
        <f t="shared" si="1"/>
        <v>4</v>
      </c>
      <c r="I13" s="11">
        <f t="shared" si="2"/>
        <v>1.7320508075688772</v>
      </c>
      <c r="K13" s="6" t="s">
        <v>3</v>
      </c>
      <c r="L13" s="8">
        <f>I24+3*I24/H29*SQRT(1-H29^2)</f>
        <v>4.8984971209745805</v>
      </c>
    </row>
    <row r="14" spans="1:12" ht="16" customHeight="1" x14ac:dyDescent="0.2">
      <c r="A14" s="3">
        <v>13</v>
      </c>
      <c r="B14" s="3">
        <v>27</v>
      </c>
      <c r="C14" s="3">
        <v>32</v>
      </c>
      <c r="D14" s="3">
        <v>34</v>
      </c>
      <c r="E14" s="3">
        <v>35</v>
      </c>
      <c r="F14" s="3">
        <v>37</v>
      </c>
      <c r="G14" s="15">
        <f t="shared" si="0"/>
        <v>33</v>
      </c>
      <c r="H14" s="16">
        <f t="shared" si="1"/>
        <v>10</v>
      </c>
      <c r="I14" s="11">
        <f t="shared" si="2"/>
        <v>3.8078865529319543</v>
      </c>
      <c r="K14" s="6" t="s">
        <v>4</v>
      </c>
      <c r="L14" s="8">
        <f>I24</f>
        <v>2.3450637084089978</v>
      </c>
    </row>
    <row r="15" spans="1:12" ht="16" customHeight="1" x14ac:dyDescent="0.2">
      <c r="A15" s="3">
        <v>14</v>
      </c>
      <c r="B15" s="3">
        <v>33</v>
      </c>
      <c r="C15" s="3">
        <v>33</v>
      </c>
      <c r="D15" s="3">
        <v>35</v>
      </c>
      <c r="E15" s="3">
        <v>37</v>
      </c>
      <c r="F15" s="3">
        <v>36</v>
      </c>
      <c r="G15" s="15">
        <f t="shared" si="0"/>
        <v>34.799999999999997</v>
      </c>
      <c r="H15" s="16">
        <f t="shared" si="1"/>
        <v>4</v>
      </c>
      <c r="I15" s="11">
        <f t="shared" si="2"/>
        <v>1.7888543819998317</v>
      </c>
      <c r="K15" s="6" t="s">
        <v>5</v>
      </c>
      <c r="L15" s="8">
        <f>I24-3*I24/H29*SQRT(1-H29^2)</f>
        <v>-0.2083697041565844</v>
      </c>
    </row>
    <row r="16" spans="1:12" ht="16" customHeight="1" x14ac:dyDescent="0.2">
      <c r="A16" s="3">
        <v>15</v>
      </c>
      <c r="B16" s="3">
        <v>35</v>
      </c>
      <c r="C16" s="3">
        <v>37</v>
      </c>
      <c r="D16" s="3">
        <v>32</v>
      </c>
      <c r="E16" s="3">
        <v>35</v>
      </c>
      <c r="F16" s="3">
        <v>39</v>
      </c>
      <c r="G16" s="15">
        <f t="shared" si="0"/>
        <v>35.6</v>
      </c>
      <c r="H16" s="16">
        <f t="shared" si="1"/>
        <v>7</v>
      </c>
      <c r="I16" s="11">
        <f t="shared" si="2"/>
        <v>2.6076809620810595</v>
      </c>
    </row>
    <row r="17" spans="1:24" ht="16" customHeight="1" x14ac:dyDescent="0.2">
      <c r="A17" s="3">
        <v>16</v>
      </c>
      <c r="B17" s="3">
        <v>33</v>
      </c>
      <c r="C17" s="3">
        <v>33</v>
      </c>
      <c r="D17" s="3">
        <v>27</v>
      </c>
      <c r="E17" s="3">
        <v>31</v>
      </c>
      <c r="F17" s="3">
        <v>30</v>
      </c>
      <c r="G17" s="15">
        <f t="shared" si="0"/>
        <v>30.8</v>
      </c>
      <c r="H17" s="16">
        <f t="shared" si="1"/>
        <v>6</v>
      </c>
      <c r="I17" s="11">
        <f t="shared" si="2"/>
        <v>2.4899799195977463</v>
      </c>
      <c r="K17" s="9" t="s">
        <v>30</v>
      </c>
    </row>
    <row r="18" spans="1:24" ht="16" customHeight="1" x14ac:dyDescent="0.2">
      <c r="A18" s="3">
        <v>17</v>
      </c>
      <c r="B18" s="3">
        <v>35</v>
      </c>
      <c r="C18" s="3">
        <v>34</v>
      </c>
      <c r="D18" s="3">
        <v>34</v>
      </c>
      <c r="E18" s="3">
        <v>30</v>
      </c>
      <c r="F18" s="3">
        <v>32</v>
      </c>
      <c r="G18" s="15">
        <f t="shared" si="0"/>
        <v>33</v>
      </c>
      <c r="H18" s="16">
        <f t="shared" si="1"/>
        <v>5</v>
      </c>
      <c r="I18" s="11">
        <f t="shared" si="2"/>
        <v>2</v>
      </c>
      <c r="K18" s="6" t="s">
        <v>3</v>
      </c>
      <c r="L18" s="8">
        <f>G24+3*I24/(H29*SQRT(COUNT(B2:F2)))</f>
        <v>36.667056508661879</v>
      </c>
    </row>
    <row r="19" spans="1:24" ht="16" customHeight="1" x14ac:dyDescent="0.2">
      <c r="A19" s="3">
        <v>18</v>
      </c>
      <c r="B19" s="3">
        <v>32</v>
      </c>
      <c r="C19" s="3">
        <v>33</v>
      </c>
      <c r="D19" s="3">
        <v>30</v>
      </c>
      <c r="E19" s="3">
        <v>30</v>
      </c>
      <c r="F19" s="3">
        <v>33</v>
      </c>
      <c r="G19" s="15">
        <f t="shared" si="0"/>
        <v>31.6</v>
      </c>
      <c r="H19" s="16">
        <f t="shared" si="1"/>
        <v>3</v>
      </c>
      <c r="I19" s="11">
        <f t="shared" si="2"/>
        <v>1.51657508881031</v>
      </c>
      <c r="K19" s="6" t="s">
        <v>4</v>
      </c>
      <c r="L19" s="8">
        <f>G24</f>
        <v>33.320000000000007</v>
      </c>
    </row>
    <row r="20" spans="1:24" ht="16" customHeight="1" x14ac:dyDescent="0.2">
      <c r="A20" s="3">
        <v>19</v>
      </c>
      <c r="B20" s="3">
        <v>25</v>
      </c>
      <c r="C20" s="3">
        <v>27</v>
      </c>
      <c r="D20" s="3">
        <v>34</v>
      </c>
      <c r="E20" s="3">
        <v>27</v>
      </c>
      <c r="F20" s="3">
        <v>28</v>
      </c>
      <c r="G20" s="15">
        <f t="shared" si="0"/>
        <v>28.2</v>
      </c>
      <c r="H20" s="16">
        <f t="shared" si="1"/>
        <v>9</v>
      </c>
      <c r="I20" s="11">
        <f t="shared" si="2"/>
        <v>3.4205262752974206</v>
      </c>
      <c r="K20" s="6" t="s">
        <v>5</v>
      </c>
      <c r="L20" s="8">
        <f>G24-3*I24/(H29*SQRT(COUNT(B2:F2)))</f>
        <v>29.972943491338135</v>
      </c>
    </row>
    <row r="21" spans="1:24" ht="16" customHeight="1" x14ac:dyDescent="0.2">
      <c r="A21" s="3">
        <v>20</v>
      </c>
      <c r="B21" s="3">
        <v>35</v>
      </c>
      <c r="C21" s="3">
        <v>35</v>
      </c>
      <c r="D21" s="3">
        <v>36</v>
      </c>
      <c r="E21" s="3">
        <v>33</v>
      </c>
      <c r="F21" s="3">
        <v>30</v>
      </c>
      <c r="G21" s="15">
        <f t="shared" si="0"/>
        <v>33.799999999999997</v>
      </c>
      <c r="H21" s="16">
        <f t="shared" si="1"/>
        <v>6</v>
      </c>
      <c r="I21" s="11">
        <f t="shared" si="2"/>
        <v>2.3874672772626644</v>
      </c>
    </row>
    <row r="23" spans="1:24" ht="30" customHeight="1" x14ac:dyDescent="0.2">
      <c r="G23" s="13" t="s">
        <v>24</v>
      </c>
      <c r="H23" s="13" t="s">
        <v>25</v>
      </c>
      <c r="I23" s="13" t="s">
        <v>26</v>
      </c>
    </row>
    <row r="24" spans="1:24" ht="16" customHeight="1" x14ac:dyDescent="0.2">
      <c r="G24" s="11">
        <f>AVERAGE(G2:G21)</f>
        <v>33.320000000000007</v>
      </c>
      <c r="H24" s="11">
        <f>AVERAGE(H2:H21)</f>
        <v>5.8</v>
      </c>
      <c r="I24" s="11">
        <f>AVERAGE(I2:I21)</f>
        <v>2.3450637084089978</v>
      </c>
    </row>
    <row r="25" spans="1:24" ht="16" customHeight="1" x14ac:dyDescent="0.2">
      <c r="L25" t="s">
        <v>50</v>
      </c>
      <c r="M25" t="s">
        <v>12</v>
      </c>
      <c r="N25" t="s">
        <v>13</v>
      </c>
      <c r="O25" t="s">
        <v>14</v>
      </c>
      <c r="U25" t="s">
        <v>45</v>
      </c>
      <c r="V25" t="s">
        <v>46</v>
      </c>
      <c r="W25" t="s">
        <v>47</v>
      </c>
      <c r="X25" t="s">
        <v>48</v>
      </c>
    </row>
    <row r="26" spans="1:24" ht="16" customHeight="1" x14ac:dyDescent="0.2">
      <c r="D26" t="s">
        <v>41</v>
      </c>
      <c r="E26">
        <f>COUNT(A2:A21)</f>
        <v>20</v>
      </c>
      <c r="G26" s="6" t="s">
        <v>31</v>
      </c>
      <c r="H26" s="8">
        <v>0.57699999999999996</v>
      </c>
      <c r="L26" s="18">
        <f>G2</f>
        <v>31.6</v>
      </c>
      <c r="M26" s="19">
        <f>$L$3</f>
        <v>36.66660000000001</v>
      </c>
      <c r="N26" s="19">
        <f>$L$4</f>
        <v>33.320000000000007</v>
      </c>
      <c r="O26" s="19">
        <f>$L$5</f>
        <v>29.973400000000009</v>
      </c>
      <c r="U26" s="19">
        <f>I2</f>
        <v>1.6733200530681511</v>
      </c>
      <c r="V26" s="19">
        <f>$L$13</f>
        <v>4.8984971209745805</v>
      </c>
      <c r="W26" s="19">
        <f>$L$14</f>
        <v>2.3450637084089978</v>
      </c>
      <c r="X26" s="19">
        <f>$L$15</f>
        <v>-0.2083697041565844</v>
      </c>
    </row>
    <row r="27" spans="1:24" ht="16" customHeight="1" x14ac:dyDescent="0.2">
      <c r="G27" s="6" t="s">
        <v>32</v>
      </c>
      <c r="H27" s="8">
        <v>0</v>
      </c>
      <c r="L27" s="18">
        <f t="shared" ref="L27:L46" si="3">G3</f>
        <v>33.4</v>
      </c>
      <c r="M27" s="19">
        <f t="shared" ref="M27:M45" si="4">$L$3</f>
        <v>36.66660000000001</v>
      </c>
      <c r="N27" s="19">
        <f t="shared" ref="N27:N45" si="5">$L$4</f>
        <v>33.320000000000007</v>
      </c>
      <c r="O27" s="19">
        <f t="shared" ref="O27:O45" si="6">$L$5</f>
        <v>29.973400000000009</v>
      </c>
      <c r="U27" s="19">
        <f t="shared" ref="U27:U61" si="7">I3</f>
        <v>2.6076809620810595</v>
      </c>
      <c r="V27" s="19">
        <f t="shared" ref="V27:V45" si="8">$L$13</f>
        <v>4.8984971209745805</v>
      </c>
      <c r="W27" s="19">
        <f t="shared" ref="W27:W45" si="9">$L$14</f>
        <v>2.3450637084089978</v>
      </c>
      <c r="X27" s="19">
        <f t="shared" ref="X27:X45" si="10">$L$15</f>
        <v>-0.2083697041565844</v>
      </c>
    </row>
    <row r="28" spans="1:24" ht="16" customHeight="1" x14ac:dyDescent="0.2">
      <c r="G28" s="6" t="s">
        <v>33</v>
      </c>
      <c r="H28" s="8">
        <v>2.1139999999999999</v>
      </c>
      <c r="L28" s="18">
        <f t="shared" si="3"/>
        <v>35</v>
      </c>
      <c r="M28" s="19">
        <f t="shared" si="4"/>
        <v>36.66660000000001</v>
      </c>
      <c r="N28" s="19">
        <f t="shared" si="5"/>
        <v>33.320000000000007</v>
      </c>
      <c r="O28" s="19">
        <f t="shared" si="6"/>
        <v>29.973400000000009</v>
      </c>
      <c r="U28" s="19">
        <f t="shared" si="7"/>
        <v>1.5811388300841898</v>
      </c>
      <c r="V28" s="19">
        <f t="shared" si="8"/>
        <v>4.8984971209745805</v>
      </c>
      <c r="W28" s="19">
        <f t="shared" si="9"/>
        <v>2.3450637084089978</v>
      </c>
      <c r="X28" s="19">
        <f t="shared" si="10"/>
        <v>-0.2083697041565844</v>
      </c>
    </row>
    <row r="29" spans="1:24" ht="16" customHeight="1" x14ac:dyDescent="0.2">
      <c r="G29" s="6" t="s">
        <v>34</v>
      </c>
      <c r="H29" s="8">
        <v>0.94</v>
      </c>
      <c r="L29" s="18">
        <f t="shared" si="3"/>
        <v>32.200000000000003</v>
      </c>
      <c r="M29" s="19">
        <f t="shared" si="4"/>
        <v>36.66660000000001</v>
      </c>
      <c r="N29" s="19">
        <f t="shared" si="5"/>
        <v>33.320000000000007</v>
      </c>
      <c r="O29" s="19">
        <f t="shared" si="6"/>
        <v>29.973400000000009</v>
      </c>
      <c r="U29" s="19">
        <f t="shared" si="7"/>
        <v>1.6431676725154982</v>
      </c>
      <c r="V29" s="19">
        <f t="shared" si="8"/>
        <v>4.8984971209745805</v>
      </c>
      <c r="W29" s="19">
        <f t="shared" si="9"/>
        <v>2.3450637084089978</v>
      </c>
      <c r="X29" s="19">
        <f t="shared" si="10"/>
        <v>-0.2083697041565844</v>
      </c>
    </row>
    <row r="30" spans="1:24" ht="16" customHeight="1" x14ac:dyDescent="0.2">
      <c r="L30" s="18">
        <f t="shared" si="3"/>
        <v>33.799999999999997</v>
      </c>
      <c r="M30" s="19">
        <f t="shared" si="4"/>
        <v>36.66660000000001</v>
      </c>
      <c r="N30" s="19">
        <f t="shared" si="5"/>
        <v>33.320000000000007</v>
      </c>
      <c r="O30" s="19">
        <f t="shared" si="6"/>
        <v>29.973400000000009</v>
      </c>
      <c r="U30" s="19">
        <f t="shared" si="7"/>
        <v>0.83666002653407556</v>
      </c>
      <c r="V30" s="19">
        <f t="shared" si="8"/>
        <v>4.8984971209745805</v>
      </c>
      <c r="W30" s="19">
        <f t="shared" si="9"/>
        <v>2.3450637084089978</v>
      </c>
      <c r="X30" s="19">
        <f t="shared" si="10"/>
        <v>-0.2083697041565844</v>
      </c>
    </row>
    <row r="31" spans="1:24" ht="16" customHeight="1" x14ac:dyDescent="0.2">
      <c r="L31" s="18">
        <f t="shared" si="3"/>
        <v>38.4</v>
      </c>
      <c r="M31" s="19">
        <f t="shared" si="4"/>
        <v>36.66660000000001</v>
      </c>
      <c r="N31" s="19">
        <f t="shared" si="5"/>
        <v>33.320000000000007</v>
      </c>
      <c r="O31" s="19">
        <f t="shared" si="6"/>
        <v>29.973400000000009</v>
      </c>
      <c r="U31" s="19">
        <f t="shared" si="7"/>
        <v>1.1401754250991381</v>
      </c>
      <c r="V31" s="19">
        <f t="shared" si="8"/>
        <v>4.8984971209745805</v>
      </c>
      <c r="W31" s="19">
        <f t="shared" si="9"/>
        <v>2.3450637084089978</v>
      </c>
      <c r="X31" s="19">
        <f t="shared" si="10"/>
        <v>-0.2083697041565844</v>
      </c>
    </row>
    <row r="32" spans="1:24" ht="16" customHeight="1" x14ac:dyDescent="0.2">
      <c r="L32" s="18">
        <f t="shared" si="3"/>
        <v>31.6</v>
      </c>
      <c r="M32" s="19">
        <f t="shared" si="4"/>
        <v>36.66660000000001</v>
      </c>
      <c r="N32" s="19">
        <f t="shared" si="5"/>
        <v>33.320000000000007</v>
      </c>
      <c r="O32" s="19">
        <f t="shared" si="6"/>
        <v>29.973400000000009</v>
      </c>
      <c r="U32" s="19">
        <f t="shared" si="7"/>
        <v>1.51657508881031</v>
      </c>
      <c r="V32" s="19">
        <f t="shared" si="8"/>
        <v>4.8984971209745805</v>
      </c>
      <c r="W32" s="19">
        <f t="shared" si="9"/>
        <v>2.3450637084089978</v>
      </c>
      <c r="X32" s="19">
        <f t="shared" si="10"/>
        <v>-0.2083697041565844</v>
      </c>
    </row>
    <row r="33" spans="12:24" ht="16" customHeight="1" x14ac:dyDescent="0.2">
      <c r="L33" s="18">
        <f t="shared" si="3"/>
        <v>36.799999999999997</v>
      </c>
      <c r="M33" s="19">
        <f t="shared" si="4"/>
        <v>36.66660000000001</v>
      </c>
      <c r="N33" s="19">
        <f t="shared" si="5"/>
        <v>33.320000000000007</v>
      </c>
      <c r="O33" s="19">
        <f t="shared" si="6"/>
        <v>29.973400000000009</v>
      </c>
      <c r="U33" s="19">
        <f t="shared" si="7"/>
        <v>4.3817804600413339</v>
      </c>
      <c r="V33" s="19">
        <f t="shared" si="8"/>
        <v>4.8984971209745805</v>
      </c>
      <c r="W33" s="19">
        <f t="shared" si="9"/>
        <v>2.3450637084089978</v>
      </c>
      <c r="X33" s="19">
        <f t="shared" si="10"/>
        <v>-0.2083697041565844</v>
      </c>
    </row>
    <row r="34" spans="12:24" ht="16" customHeight="1" x14ac:dyDescent="0.2">
      <c r="L34" s="18">
        <f t="shared" si="3"/>
        <v>35</v>
      </c>
      <c r="M34" s="19">
        <f t="shared" si="4"/>
        <v>36.66660000000001</v>
      </c>
      <c r="N34" s="19">
        <f t="shared" si="5"/>
        <v>33.320000000000007</v>
      </c>
      <c r="O34" s="19">
        <f t="shared" si="6"/>
        <v>29.973400000000009</v>
      </c>
      <c r="U34" s="19">
        <f t="shared" si="7"/>
        <v>5.4313902456001077</v>
      </c>
      <c r="V34" s="19">
        <f t="shared" si="8"/>
        <v>4.8984971209745805</v>
      </c>
      <c r="W34" s="19">
        <f t="shared" si="9"/>
        <v>2.3450637084089978</v>
      </c>
      <c r="X34" s="19">
        <f t="shared" si="10"/>
        <v>-0.2083697041565844</v>
      </c>
    </row>
    <row r="35" spans="12:24" ht="16" customHeight="1" x14ac:dyDescent="0.2">
      <c r="L35" s="18">
        <f t="shared" si="3"/>
        <v>34</v>
      </c>
      <c r="M35" s="19">
        <f t="shared" si="4"/>
        <v>36.66660000000001</v>
      </c>
      <c r="N35" s="19">
        <f t="shared" si="5"/>
        <v>33.320000000000007</v>
      </c>
      <c r="O35" s="19">
        <f t="shared" si="6"/>
        <v>29.973400000000009</v>
      </c>
      <c r="U35" s="19">
        <f t="shared" si="7"/>
        <v>2.5495097567963922</v>
      </c>
      <c r="V35" s="19">
        <f t="shared" si="8"/>
        <v>4.8984971209745805</v>
      </c>
      <c r="W35" s="19">
        <f t="shared" si="9"/>
        <v>2.3450637084089978</v>
      </c>
      <c r="X35" s="19">
        <f t="shared" si="10"/>
        <v>-0.2083697041565844</v>
      </c>
    </row>
    <row r="36" spans="12:24" ht="16" customHeight="1" x14ac:dyDescent="0.2">
      <c r="L36" s="18">
        <f t="shared" si="3"/>
        <v>29.8</v>
      </c>
      <c r="M36" s="19">
        <f t="shared" si="4"/>
        <v>36.66660000000001</v>
      </c>
      <c r="N36" s="19">
        <f t="shared" si="5"/>
        <v>33.320000000000007</v>
      </c>
      <c r="O36" s="19">
        <f t="shared" si="6"/>
        <v>29.973400000000009</v>
      </c>
      <c r="U36" s="19">
        <f t="shared" si="7"/>
        <v>1.7888543819998317</v>
      </c>
      <c r="V36" s="19">
        <f t="shared" si="8"/>
        <v>4.8984971209745805</v>
      </c>
      <c r="W36" s="19">
        <f t="shared" si="9"/>
        <v>2.3450637084089978</v>
      </c>
      <c r="X36" s="19">
        <f t="shared" si="10"/>
        <v>-0.2083697041565844</v>
      </c>
    </row>
    <row r="37" spans="12:24" ht="16" customHeight="1" x14ac:dyDescent="0.2">
      <c r="L37" s="18">
        <f t="shared" si="3"/>
        <v>34</v>
      </c>
      <c r="M37" s="19">
        <f t="shared" si="4"/>
        <v>36.66660000000001</v>
      </c>
      <c r="N37" s="19">
        <f t="shared" si="5"/>
        <v>33.320000000000007</v>
      </c>
      <c r="O37" s="19">
        <f t="shared" si="6"/>
        <v>29.973400000000009</v>
      </c>
      <c r="U37" s="19">
        <f t="shared" si="7"/>
        <v>1.7320508075688772</v>
      </c>
      <c r="V37" s="19">
        <f t="shared" si="8"/>
        <v>4.8984971209745805</v>
      </c>
      <c r="W37" s="19">
        <f t="shared" si="9"/>
        <v>2.3450637084089978</v>
      </c>
      <c r="X37" s="19">
        <f t="shared" si="10"/>
        <v>-0.2083697041565844</v>
      </c>
    </row>
    <row r="38" spans="12:24" ht="16" customHeight="1" x14ac:dyDescent="0.2">
      <c r="L38" s="18">
        <f t="shared" si="3"/>
        <v>33</v>
      </c>
      <c r="M38" s="19">
        <f t="shared" si="4"/>
        <v>36.66660000000001</v>
      </c>
      <c r="N38" s="19">
        <f t="shared" si="5"/>
        <v>33.320000000000007</v>
      </c>
      <c r="O38" s="19">
        <f t="shared" si="6"/>
        <v>29.973400000000009</v>
      </c>
      <c r="U38" s="19">
        <f t="shared" si="7"/>
        <v>3.8078865529319543</v>
      </c>
      <c r="V38" s="19">
        <f t="shared" si="8"/>
        <v>4.8984971209745805</v>
      </c>
      <c r="W38" s="19">
        <f t="shared" si="9"/>
        <v>2.3450637084089978</v>
      </c>
      <c r="X38" s="19">
        <f t="shared" si="10"/>
        <v>-0.2083697041565844</v>
      </c>
    </row>
    <row r="39" spans="12:24" ht="16" customHeight="1" x14ac:dyDescent="0.2">
      <c r="L39" s="18">
        <f t="shared" si="3"/>
        <v>34.799999999999997</v>
      </c>
      <c r="M39" s="19">
        <f t="shared" si="4"/>
        <v>36.66660000000001</v>
      </c>
      <c r="N39" s="19">
        <f t="shared" si="5"/>
        <v>33.320000000000007</v>
      </c>
      <c r="O39" s="19">
        <f t="shared" si="6"/>
        <v>29.973400000000009</v>
      </c>
      <c r="U39" s="19">
        <f t="shared" si="7"/>
        <v>1.7888543819998317</v>
      </c>
      <c r="V39" s="19">
        <f t="shared" si="8"/>
        <v>4.8984971209745805</v>
      </c>
      <c r="W39" s="19">
        <f t="shared" si="9"/>
        <v>2.3450637084089978</v>
      </c>
      <c r="X39" s="19">
        <f t="shared" si="10"/>
        <v>-0.2083697041565844</v>
      </c>
    </row>
    <row r="40" spans="12:24" ht="16" customHeight="1" x14ac:dyDescent="0.2">
      <c r="L40" s="18">
        <f t="shared" si="3"/>
        <v>35.6</v>
      </c>
      <c r="M40" s="19">
        <f t="shared" si="4"/>
        <v>36.66660000000001</v>
      </c>
      <c r="N40" s="19">
        <f t="shared" si="5"/>
        <v>33.320000000000007</v>
      </c>
      <c r="O40" s="19">
        <f t="shared" si="6"/>
        <v>29.973400000000009</v>
      </c>
      <c r="U40" s="19">
        <f t="shared" si="7"/>
        <v>2.6076809620810595</v>
      </c>
      <c r="V40" s="19">
        <f t="shared" si="8"/>
        <v>4.8984971209745805</v>
      </c>
      <c r="W40" s="19">
        <f t="shared" si="9"/>
        <v>2.3450637084089978</v>
      </c>
      <c r="X40" s="19">
        <f t="shared" si="10"/>
        <v>-0.2083697041565844</v>
      </c>
    </row>
    <row r="41" spans="12:24" ht="16" customHeight="1" x14ac:dyDescent="0.2">
      <c r="L41" s="18">
        <f t="shared" si="3"/>
        <v>30.8</v>
      </c>
      <c r="M41" s="19">
        <f t="shared" si="4"/>
        <v>36.66660000000001</v>
      </c>
      <c r="N41" s="19">
        <f t="shared" si="5"/>
        <v>33.320000000000007</v>
      </c>
      <c r="O41" s="19">
        <f t="shared" si="6"/>
        <v>29.973400000000009</v>
      </c>
      <c r="U41" s="19">
        <f t="shared" si="7"/>
        <v>2.4899799195977463</v>
      </c>
      <c r="V41" s="19">
        <f t="shared" si="8"/>
        <v>4.8984971209745805</v>
      </c>
      <c r="W41" s="19">
        <f t="shared" si="9"/>
        <v>2.3450637084089978</v>
      </c>
      <c r="X41" s="19">
        <f t="shared" si="10"/>
        <v>-0.2083697041565844</v>
      </c>
    </row>
    <row r="42" spans="12:24" ht="16" customHeight="1" x14ac:dyDescent="0.2">
      <c r="L42" s="18">
        <f t="shared" si="3"/>
        <v>33</v>
      </c>
      <c r="M42" s="19">
        <f t="shared" si="4"/>
        <v>36.66660000000001</v>
      </c>
      <c r="N42" s="19">
        <f t="shared" si="5"/>
        <v>33.320000000000007</v>
      </c>
      <c r="O42" s="19">
        <f t="shared" si="6"/>
        <v>29.973400000000009</v>
      </c>
      <c r="U42" s="19">
        <f t="shared" si="7"/>
        <v>2</v>
      </c>
      <c r="V42" s="19">
        <f t="shared" si="8"/>
        <v>4.8984971209745805</v>
      </c>
      <c r="W42" s="19">
        <f t="shared" si="9"/>
        <v>2.3450637084089978</v>
      </c>
      <c r="X42" s="19">
        <f t="shared" si="10"/>
        <v>-0.2083697041565844</v>
      </c>
    </row>
    <row r="43" spans="12:24" ht="16" customHeight="1" x14ac:dyDescent="0.2">
      <c r="L43" s="18">
        <f t="shared" si="3"/>
        <v>31.6</v>
      </c>
      <c r="M43" s="19">
        <f t="shared" si="4"/>
        <v>36.66660000000001</v>
      </c>
      <c r="N43" s="19">
        <f t="shared" si="5"/>
        <v>33.320000000000007</v>
      </c>
      <c r="O43" s="19">
        <f t="shared" si="6"/>
        <v>29.973400000000009</v>
      </c>
      <c r="U43" s="19">
        <f t="shared" si="7"/>
        <v>1.51657508881031</v>
      </c>
      <c r="V43" s="19">
        <f t="shared" si="8"/>
        <v>4.8984971209745805</v>
      </c>
      <c r="W43" s="19">
        <f t="shared" si="9"/>
        <v>2.3450637084089978</v>
      </c>
      <c r="X43" s="19">
        <f t="shared" si="10"/>
        <v>-0.2083697041565844</v>
      </c>
    </row>
    <row r="44" spans="12:24" ht="16" customHeight="1" x14ac:dyDescent="0.2">
      <c r="L44" s="18">
        <f t="shared" si="3"/>
        <v>28.2</v>
      </c>
      <c r="M44" s="19">
        <f t="shared" si="4"/>
        <v>36.66660000000001</v>
      </c>
      <c r="N44" s="19">
        <f t="shared" si="5"/>
        <v>33.320000000000007</v>
      </c>
      <c r="O44" s="19">
        <f t="shared" si="6"/>
        <v>29.973400000000009</v>
      </c>
      <c r="U44" s="19">
        <f t="shared" si="7"/>
        <v>3.4205262752974206</v>
      </c>
      <c r="V44" s="19">
        <f t="shared" si="8"/>
        <v>4.8984971209745805</v>
      </c>
      <c r="W44" s="19">
        <f t="shared" si="9"/>
        <v>2.3450637084089978</v>
      </c>
      <c r="X44" s="19">
        <f t="shared" si="10"/>
        <v>-0.2083697041565844</v>
      </c>
    </row>
    <row r="45" spans="12:24" ht="16" customHeight="1" x14ac:dyDescent="0.2">
      <c r="L45" s="18">
        <f t="shared" si="3"/>
        <v>33.799999999999997</v>
      </c>
      <c r="M45" s="19">
        <f t="shared" si="4"/>
        <v>36.66660000000001</v>
      </c>
      <c r="N45" s="19">
        <f t="shared" si="5"/>
        <v>33.320000000000007</v>
      </c>
      <c r="O45" s="19">
        <f t="shared" si="6"/>
        <v>29.973400000000009</v>
      </c>
      <c r="U45" s="19">
        <f t="shared" si="7"/>
        <v>2.3874672772626644</v>
      </c>
      <c r="V45" s="19">
        <f t="shared" si="8"/>
        <v>4.8984971209745805</v>
      </c>
      <c r="W45" s="19">
        <f t="shared" si="9"/>
        <v>2.3450637084089978</v>
      </c>
      <c r="X45" s="19">
        <f t="shared" si="10"/>
        <v>-0.2083697041565844</v>
      </c>
    </row>
    <row r="46" spans="12:24" ht="16" customHeight="1" x14ac:dyDescent="0.2">
      <c r="L46" s="18"/>
      <c r="U46" s="19"/>
    </row>
    <row r="47" spans="12:24" ht="16" customHeight="1" x14ac:dyDescent="0.2">
      <c r="U47" s="19"/>
    </row>
    <row r="48" spans="12:24" ht="16" customHeight="1" x14ac:dyDescent="0.2">
      <c r="L48" t="s">
        <v>22</v>
      </c>
      <c r="M48" t="s">
        <v>42</v>
      </c>
      <c r="N48" t="s">
        <v>43</v>
      </c>
      <c r="O48" t="s">
        <v>44</v>
      </c>
      <c r="U48" s="19" t="s">
        <v>49</v>
      </c>
      <c r="V48" t="s">
        <v>12</v>
      </c>
      <c r="W48" t="s">
        <v>13</v>
      </c>
      <c r="X48" t="s">
        <v>14</v>
      </c>
    </row>
    <row r="49" spans="12:24" ht="16" customHeight="1" x14ac:dyDescent="0.2">
      <c r="L49">
        <f>H2</f>
        <v>4</v>
      </c>
      <c r="M49" s="19">
        <f>$L$8</f>
        <v>12.261199999999999</v>
      </c>
      <c r="N49" s="19">
        <f>$L$9</f>
        <v>5.8</v>
      </c>
      <c r="O49" s="19">
        <f>$L$10</f>
        <v>0</v>
      </c>
      <c r="U49" s="19">
        <f>G2</f>
        <v>31.6</v>
      </c>
      <c r="V49" s="19">
        <f>$L$18</f>
        <v>36.667056508661879</v>
      </c>
      <c r="W49" s="19">
        <f>$L$19</f>
        <v>33.320000000000007</v>
      </c>
      <c r="X49" s="19">
        <f>$L$20</f>
        <v>29.972943491338135</v>
      </c>
    </row>
    <row r="50" spans="12:24" ht="16" customHeight="1" x14ac:dyDescent="0.2">
      <c r="L50">
        <f t="shared" ref="L50:L70" si="11">H3</f>
        <v>6</v>
      </c>
      <c r="M50" s="19">
        <f t="shared" ref="M50:M68" si="12">$L$8</f>
        <v>12.261199999999999</v>
      </c>
      <c r="N50" s="19">
        <f t="shared" ref="N50:N68" si="13">$L$9</f>
        <v>5.8</v>
      </c>
      <c r="O50" s="19">
        <f t="shared" ref="O50:O68" si="14">$L$10</f>
        <v>0</v>
      </c>
      <c r="U50" s="19">
        <f t="shared" ref="U50:U68" si="15">G3</f>
        <v>33.4</v>
      </c>
      <c r="V50" s="19">
        <f t="shared" ref="V50:V68" si="16">$L$18</f>
        <v>36.667056508661879</v>
      </c>
      <c r="W50" s="19">
        <f t="shared" ref="W50:W68" si="17">$L$19</f>
        <v>33.320000000000007</v>
      </c>
      <c r="X50" s="19">
        <f t="shared" ref="X50:X68" si="18">$L$20</f>
        <v>29.972943491338135</v>
      </c>
    </row>
    <row r="51" spans="12:24" ht="16" customHeight="1" x14ac:dyDescent="0.2">
      <c r="L51">
        <f t="shared" si="11"/>
        <v>4</v>
      </c>
      <c r="M51" s="19">
        <f t="shared" si="12"/>
        <v>12.261199999999999</v>
      </c>
      <c r="N51" s="19">
        <f t="shared" si="13"/>
        <v>5.8</v>
      </c>
      <c r="O51" s="19">
        <f t="shared" si="14"/>
        <v>0</v>
      </c>
      <c r="U51" s="19">
        <f t="shared" si="15"/>
        <v>35</v>
      </c>
      <c r="V51" s="19">
        <f t="shared" si="16"/>
        <v>36.667056508661879</v>
      </c>
      <c r="W51" s="19">
        <f t="shared" si="17"/>
        <v>33.320000000000007</v>
      </c>
      <c r="X51" s="19">
        <f t="shared" si="18"/>
        <v>29.972943491338135</v>
      </c>
    </row>
    <row r="52" spans="12:24" ht="16" customHeight="1" x14ac:dyDescent="0.2">
      <c r="L52">
        <f t="shared" si="11"/>
        <v>4</v>
      </c>
      <c r="M52" s="19">
        <f t="shared" si="12"/>
        <v>12.261199999999999</v>
      </c>
      <c r="N52" s="19">
        <f t="shared" si="13"/>
        <v>5.8</v>
      </c>
      <c r="O52" s="19">
        <f t="shared" si="14"/>
        <v>0</v>
      </c>
      <c r="U52" s="19">
        <f t="shared" si="15"/>
        <v>32.200000000000003</v>
      </c>
      <c r="V52" s="19">
        <f t="shared" si="16"/>
        <v>36.667056508661879</v>
      </c>
      <c r="W52" s="19">
        <f t="shared" si="17"/>
        <v>33.320000000000007</v>
      </c>
      <c r="X52" s="19">
        <f t="shared" si="18"/>
        <v>29.972943491338135</v>
      </c>
    </row>
    <row r="53" spans="12:24" ht="16" customHeight="1" x14ac:dyDescent="0.2">
      <c r="L53">
        <f t="shared" si="11"/>
        <v>2</v>
      </c>
      <c r="M53" s="19">
        <f t="shared" si="12"/>
        <v>12.261199999999999</v>
      </c>
      <c r="N53" s="19">
        <f t="shared" si="13"/>
        <v>5.8</v>
      </c>
      <c r="O53" s="19">
        <f t="shared" si="14"/>
        <v>0</v>
      </c>
      <c r="U53" s="19">
        <f t="shared" si="15"/>
        <v>33.799999999999997</v>
      </c>
      <c r="V53" s="19">
        <f t="shared" si="16"/>
        <v>36.667056508661879</v>
      </c>
      <c r="W53" s="19">
        <f t="shared" si="17"/>
        <v>33.320000000000007</v>
      </c>
      <c r="X53" s="19">
        <f t="shared" si="18"/>
        <v>29.972943491338135</v>
      </c>
    </row>
    <row r="54" spans="12:24" ht="16" customHeight="1" x14ac:dyDescent="0.2">
      <c r="L54">
        <f t="shared" si="11"/>
        <v>3</v>
      </c>
      <c r="M54" s="19">
        <f t="shared" si="12"/>
        <v>12.261199999999999</v>
      </c>
      <c r="N54" s="19">
        <f t="shared" si="13"/>
        <v>5.8</v>
      </c>
      <c r="O54" s="19">
        <f t="shared" si="14"/>
        <v>0</v>
      </c>
      <c r="U54" s="19">
        <f t="shared" si="15"/>
        <v>38.4</v>
      </c>
      <c r="V54" s="19">
        <f t="shared" si="16"/>
        <v>36.667056508661879</v>
      </c>
      <c r="W54" s="19">
        <f t="shared" si="17"/>
        <v>33.320000000000007</v>
      </c>
      <c r="X54" s="19">
        <f t="shared" si="18"/>
        <v>29.972943491338135</v>
      </c>
    </row>
    <row r="55" spans="12:24" ht="16" customHeight="1" x14ac:dyDescent="0.2">
      <c r="L55">
        <f t="shared" si="11"/>
        <v>4</v>
      </c>
      <c r="M55" s="19">
        <f t="shared" si="12"/>
        <v>12.261199999999999</v>
      </c>
      <c r="N55" s="19">
        <f t="shared" si="13"/>
        <v>5.8</v>
      </c>
      <c r="O55" s="19">
        <f t="shared" si="14"/>
        <v>0</v>
      </c>
      <c r="U55" s="19">
        <f t="shared" si="15"/>
        <v>31.6</v>
      </c>
      <c r="V55" s="19">
        <f t="shared" si="16"/>
        <v>36.667056508661879</v>
      </c>
      <c r="W55" s="19">
        <f t="shared" si="17"/>
        <v>33.320000000000007</v>
      </c>
      <c r="X55" s="19">
        <f t="shared" si="18"/>
        <v>29.972943491338135</v>
      </c>
    </row>
    <row r="56" spans="12:24" ht="16" customHeight="1" x14ac:dyDescent="0.2">
      <c r="L56">
        <f t="shared" si="11"/>
        <v>10</v>
      </c>
      <c r="M56" s="19">
        <f t="shared" si="12"/>
        <v>12.261199999999999</v>
      </c>
      <c r="N56" s="19">
        <f t="shared" si="13"/>
        <v>5.8</v>
      </c>
      <c r="O56" s="19">
        <f t="shared" si="14"/>
        <v>0</v>
      </c>
      <c r="U56" s="19">
        <f t="shared" si="15"/>
        <v>36.799999999999997</v>
      </c>
      <c r="V56" s="19">
        <f t="shared" si="16"/>
        <v>36.667056508661879</v>
      </c>
      <c r="W56" s="19">
        <f t="shared" si="17"/>
        <v>33.320000000000007</v>
      </c>
      <c r="X56" s="19">
        <f t="shared" si="18"/>
        <v>29.972943491338135</v>
      </c>
    </row>
    <row r="57" spans="12:24" ht="16" customHeight="1" x14ac:dyDescent="0.2">
      <c r="L57">
        <f t="shared" si="11"/>
        <v>15</v>
      </c>
      <c r="M57" s="19">
        <f t="shared" si="12"/>
        <v>12.261199999999999</v>
      </c>
      <c r="N57" s="19">
        <f t="shared" si="13"/>
        <v>5.8</v>
      </c>
      <c r="O57" s="19">
        <f t="shared" si="14"/>
        <v>0</v>
      </c>
      <c r="U57" s="19">
        <f t="shared" si="15"/>
        <v>35</v>
      </c>
      <c r="V57" s="19">
        <f t="shared" si="16"/>
        <v>36.667056508661879</v>
      </c>
      <c r="W57" s="19">
        <f t="shared" si="17"/>
        <v>33.320000000000007</v>
      </c>
      <c r="X57" s="19">
        <f t="shared" si="18"/>
        <v>29.972943491338135</v>
      </c>
    </row>
    <row r="58" spans="12:24" ht="16" customHeight="1" x14ac:dyDescent="0.2">
      <c r="L58">
        <f t="shared" si="11"/>
        <v>6</v>
      </c>
      <c r="M58" s="19">
        <f t="shared" si="12"/>
        <v>12.261199999999999</v>
      </c>
      <c r="N58" s="19">
        <f t="shared" si="13"/>
        <v>5.8</v>
      </c>
      <c r="O58" s="19">
        <f t="shared" si="14"/>
        <v>0</v>
      </c>
      <c r="U58" s="19">
        <f t="shared" si="15"/>
        <v>34</v>
      </c>
      <c r="V58" s="19">
        <f t="shared" si="16"/>
        <v>36.667056508661879</v>
      </c>
      <c r="W58" s="19">
        <f t="shared" si="17"/>
        <v>33.320000000000007</v>
      </c>
      <c r="X58" s="19">
        <f t="shared" si="18"/>
        <v>29.972943491338135</v>
      </c>
    </row>
    <row r="59" spans="12:24" ht="16" customHeight="1" x14ac:dyDescent="0.2">
      <c r="L59">
        <f t="shared" si="11"/>
        <v>4</v>
      </c>
      <c r="M59" s="19">
        <f t="shared" si="12"/>
        <v>12.261199999999999</v>
      </c>
      <c r="N59" s="19">
        <f t="shared" si="13"/>
        <v>5.8</v>
      </c>
      <c r="O59" s="19">
        <f t="shared" si="14"/>
        <v>0</v>
      </c>
      <c r="U59" s="19">
        <f t="shared" si="15"/>
        <v>29.8</v>
      </c>
      <c r="V59" s="19">
        <f t="shared" si="16"/>
        <v>36.667056508661879</v>
      </c>
      <c r="W59" s="19">
        <f t="shared" si="17"/>
        <v>33.320000000000007</v>
      </c>
      <c r="X59" s="19">
        <f t="shared" si="18"/>
        <v>29.972943491338135</v>
      </c>
    </row>
    <row r="60" spans="12:24" ht="16" customHeight="1" x14ac:dyDescent="0.2">
      <c r="L60">
        <f t="shared" si="11"/>
        <v>4</v>
      </c>
      <c r="M60" s="19">
        <f t="shared" si="12"/>
        <v>12.261199999999999</v>
      </c>
      <c r="N60" s="19">
        <f t="shared" si="13"/>
        <v>5.8</v>
      </c>
      <c r="O60" s="19">
        <f t="shared" si="14"/>
        <v>0</v>
      </c>
      <c r="U60" s="19">
        <f t="shared" si="15"/>
        <v>34</v>
      </c>
      <c r="V60" s="19">
        <f t="shared" si="16"/>
        <v>36.667056508661879</v>
      </c>
      <c r="W60" s="19">
        <f t="shared" si="17"/>
        <v>33.320000000000007</v>
      </c>
      <c r="X60" s="19">
        <f t="shared" si="18"/>
        <v>29.972943491338135</v>
      </c>
    </row>
    <row r="61" spans="12:24" ht="16" customHeight="1" x14ac:dyDescent="0.2">
      <c r="L61">
        <f t="shared" si="11"/>
        <v>10</v>
      </c>
      <c r="M61" s="19">
        <f t="shared" si="12"/>
        <v>12.261199999999999</v>
      </c>
      <c r="N61" s="19">
        <f t="shared" si="13"/>
        <v>5.8</v>
      </c>
      <c r="O61" s="19">
        <f t="shared" si="14"/>
        <v>0</v>
      </c>
      <c r="U61" s="19">
        <f t="shared" si="15"/>
        <v>33</v>
      </c>
      <c r="V61" s="19">
        <f t="shared" si="16"/>
        <v>36.667056508661879</v>
      </c>
      <c r="W61" s="19">
        <f t="shared" si="17"/>
        <v>33.320000000000007</v>
      </c>
      <c r="X61" s="19">
        <f t="shared" si="18"/>
        <v>29.972943491338135</v>
      </c>
    </row>
    <row r="62" spans="12:24" ht="16" customHeight="1" x14ac:dyDescent="0.2">
      <c r="L62">
        <f t="shared" si="11"/>
        <v>4</v>
      </c>
      <c r="M62" s="19">
        <f t="shared" si="12"/>
        <v>12.261199999999999</v>
      </c>
      <c r="N62" s="19">
        <f t="shared" si="13"/>
        <v>5.8</v>
      </c>
      <c r="O62" s="19">
        <f t="shared" si="14"/>
        <v>0</v>
      </c>
      <c r="U62" s="19">
        <f t="shared" si="15"/>
        <v>34.799999999999997</v>
      </c>
      <c r="V62" s="19">
        <f t="shared" si="16"/>
        <v>36.667056508661879</v>
      </c>
      <c r="W62" s="19">
        <f t="shared" si="17"/>
        <v>33.320000000000007</v>
      </c>
      <c r="X62" s="19">
        <f t="shared" si="18"/>
        <v>29.972943491338135</v>
      </c>
    </row>
    <row r="63" spans="12:24" ht="16" customHeight="1" x14ac:dyDescent="0.2">
      <c r="L63">
        <f t="shared" si="11"/>
        <v>7</v>
      </c>
      <c r="M63" s="19">
        <f t="shared" si="12"/>
        <v>12.261199999999999</v>
      </c>
      <c r="N63" s="19">
        <f t="shared" si="13"/>
        <v>5.8</v>
      </c>
      <c r="O63" s="19">
        <f t="shared" si="14"/>
        <v>0</v>
      </c>
      <c r="U63" s="19">
        <f t="shared" si="15"/>
        <v>35.6</v>
      </c>
      <c r="V63" s="19">
        <f t="shared" si="16"/>
        <v>36.667056508661879</v>
      </c>
      <c r="W63" s="19">
        <f t="shared" si="17"/>
        <v>33.320000000000007</v>
      </c>
      <c r="X63" s="19">
        <f t="shared" si="18"/>
        <v>29.972943491338135</v>
      </c>
    </row>
    <row r="64" spans="12:24" ht="16" customHeight="1" x14ac:dyDescent="0.2">
      <c r="L64">
        <f t="shared" si="11"/>
        <v>6</v>
      </c>
      <c r="M64" s="19">
        <f t="shared" si="12"/>
        <v>12.261199999999999</v>
      </c>
      <c r="N64" s="19">
        <f t="shared" si="13"/>
        <v>5.8</v>
      </c>
      <c r="O64" s="19">
        <f t="shared" si="14"/>
        <v>0</v>
      </c>
      <c r="U64" s="19">
        <f t="shared" si="15"/>
        <v>30.8</v>
      </c>
      <c r="V64" s="19">
        <f t="shared" si="16"/>
        <v>36.667056508661879</v>
      </c>
      <c r="W64" s="19">
        <f t="shared" si="17"/>
        <v>33.320000000000007</v>
      </c>
      <c r="X64" s="19">
        <f t="shared" si="18"/>
        <v>29.972943491338135</v>
      </c>
    </row>
    <row r="65" spans="12:24" ht="16" customHeight="1" x14ac:dyDescent="0.2">
      <c r="L65">
        <f t="shared" si="11"/>
        <v>5</v>
      </c>
      <c r="M65" s="19">
        <f t="shared" si="12"/>
        <v>12.261199999999999</v>
      </c>
      <c r="N65" s="19">
        <f t="shared" si="13"/>
        <v>5.8</v>
      </c>
      <c r="O65" s="19">
        <f t="shared" si="14"/>
        <v>0</v>
      </c>
      <c r="U65" s="19">
        <f t="shared" si="15"/>
        <v>33</v>
      </c>
      <c r="V65" s="19">
        <f t="shared" si="16"/>
        <v>36.667056508661879</v>
      </c>
      <c r="W65" s="19">
        <f t="shared" si="17"/>
        <v>33.320000000000007</v>
      </c>
      <c r="X65" s="19">
        <f t="shared" si="18"/>
        <v>29.972943491338135</v>
      </c>
    </row>
    <row r="66" spans="12:24" ht="16" customHeight="1" x14ac:dyDescent="0.2">
      <c r="L66">
        <f t="shared" si="11"/>
        <v>3</v>
      </c>
      <c r="M66" s="19">
        <f t="shared" si="12"/>
        <v>12.261199999999999</v>
      </c>
      <c r="N66" s="19">
        <f t="shared" si="13"/>
        <v>5.8</v>
      </c>
      <c r="O66" s="19">
        <f t="shared" si="14"/>
        <v>0</v>
      </c>
      <c r="U66" s="19">
        <f t="shared" si="15"/>
        <v>31.6</v>
      </c>
      <c r="V66" s="19">
        <f t="shared" si="16"/>
        <v>36.667056508661879</v>
      </c>
      <c r="W66" s="19">
        <f t="shared" si="17"/>
        <v>33.320000000000007</v>
      </c>
      <c r="X66" s="19">
        <f t="shared" si="18"/>
        <v>29.972943491338135</v>
      </c>
    </row>
    <row r="67" spans="12:24" ht="16" customHeight="1" x14ac:dyDescent="0.2">
      <c r="L67">
        <f>H20</f>
        <v>9</v>
      </c>
      <c r="M67" s="19">
        <f t="shared" si="12"/>
        <v>12.261199999999999</v>
      </c>
      <c r="N67" s="19">
        <f t="shared" si="13"/>
        <v>5.8</v>
      </c>
      <c r="O67" s="19">
        <f t="shared" si="14"/>
        <v>0</v>
      </c>
      <c r="U67" s="19">
        <f t="shared" si="15"/>
        <v>28.2</v>
      </c>
      <c r="V67" s="19">
        <f t="shared" si="16"/>
        <v>36.667056508661879</v>
      </c>
      <c r="W67" s="19">
        <f t="shared" si="17"/>
        <v>33.320000000000007</v>
      </c>
      <c r="X67" s="19">
        <f t="shared" si="18"/>
        <v>29.972943491338135</v>
      </c>
    </row>
    <row r="68" spans="12:24" ht="16" customHeight="1" x14ac:dyDescent="0.2">
      <c r="L68">
        <f t="shared" si="11"/>
        <v>6</v>
      </c>
      <c r="M68" s="19">
        <f t="shared" si="12"/>
        <v>12.261199999999999</v>
      </c>
      <c r="N68" s="19">
        <f t="shared" si="13"/>
        <v>5.8</v>
      </c>
      <c r="O68" s="19">
        <f t="shared" si="14"/>
        <v>0</v>
      </c>
      <c r="U68" s="19">
        <f t="shared" si="15"/>
        <v>33.799999999999997</v>
      </c>
      <c r="V68" s="19">
        <f t="shared" si="16"/>
        <v>36.667056508661879</v>
      </c>
      <c r="W68" s="19">
        <f t="shared" si="17"/>
        <v>33.320000000000007</v>
      </c>
      <c r="X68" s="19">
        <f t="shared" si="18"/>
        <v>29.972943491338135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</vt:lpstr>
      <vt:lpstr>Viscosity</vt:lpstr>
      <vt:lpstr>ControlChart</vt:lpstr>
      <vt:lpstr>VaneOpening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2022-07-10T14:06:37Z</dcterms:created>
  <dcterms:modified xsi:type="dcterms:W3CDTF">2026-07-07T05:01:22Z</dcterms:modified>
</cp:coreProperties>
</file>