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C49CC64B-722D-E848-95DE-8C595A535048}" xr6:coauthVersionLast="47" xr6:coauthVersionMax="47" xr10:uidLastSave="{00000000-0000-0000-0000-000000000000}"/>
  <bookViews>
    <workbookView xWindow="0" yWindow="600" windowWidth="20480" windowHeight="10960" tabRatio="858" activeTab="2" xr2:uid="{1702CB1B-5F51-4566-B5AE-3AF08FAEDD34}"/>
  </bookViews>
  <sheets>
    <sheet name="Table" sheetId="1" r:id="rId1"/>
    <sheet name="Concentration" sheetId="2" r:id="rId2"/>
    <sheet name="ElectricalCurrent" sheetId="3" r:id="rId3"/>
    <sheet name="Ceramic" sheetId="5" r:id="rId4"/>
    <sheet name="CircuitBoard" sheetId="4" r:id="rId5"/>
    <sheet name="Concentration-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7" l="1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8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6" i="7"/>
  <c r="D5" i="7"/>
  <c r="D6" i="7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4" i="7"/>
  <c r="D3" i="7"/>
  <c r="B27" i="4"/>
  <c r="B26" i="4"/>
  <c r="B25" i="4"/>
  <c r="C23" i="4"/>
  <c r="B7" i="5"/>
  <c r="B5" i="5"/>
  <c r="B8" i="3"/>
  <c r="B16" i="3"/>
  <c r="B12" i="3"/>
  <c r="B6" i="3"/>
  <c r="C24" i="2"/>
  <c r="C23" i="2"/>
  <c r="B24" i="2"/>
  <c r="B23" i="2"/>
  <c r="C22" i="2"/>
  <c r="B2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3" i="2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3" i="7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3" i="4"/>
  <c r="B6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A15" i="3"/>
  <c r="A11" i="3"/>
  <c r="E4" i="4" l="1"/>
  <c r="E7" i="4"/>
  <c r="E20" i="4"/>
  <c r="E17" i="4"/>
  <c r="E12" i="4"/>
  <c r="D6" i="4"/>
  <c r="D8" i="4"/>
  <c r="D10" i="4"/>
  <c r="D14" i="4"/>
  <c r="D16" i="4"/>
  <c r="D21" i="4"/>
  <c r="D3" i="4"/>
  <c r="D5" i="4"/>
  <c r="D17" i="4"/>
  <c r="D7" i="4"/>
  <c r="D4" i="4"/>
  <c r="D9" i="4"/>
  <c r="D11" i="4"/>
  <c r="D12" i="4"/>
  <c r="D13" i="4"/>
  <c r="D15" i="4"/>
  <c r="D18" i="4"/>
  <c r="D19" i="4"/>
  <c r="D20" i="4"/>
  <c r="D22" i="4"/>
  <c r="D7" i="2"/>
  <c r="D3" i="2"/>
  <c r="D4" i="2"/>
  <c r="D6" i="2"/>
  <c r="D5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G3" i="2"/>
  <c r="G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E16" i="4"/>
  <c r="E8" i="4"/>
  <c r="E21" i="4"/>
  <c r="E13" i="4"/>
  <c r="E5" i="4"/>
  <c r="E9" i="4"/>
  <c r="E22" i="4"/>
  <c r="E14" i="4"/>
  <c r="E6" i="4"/>
  <c r="E19" i="4"/>
  <c r="E11" i="4"/>
  <c r="E18" i="4"/>
  <c r="E10" i="4"/>
  <c r="E3" i="4"/>
  <c r="E15" i="4"/>
  <c r="G14" i="2"/>
  <c r="G6" i="2"/>
  <c r="G16" i="2"/>
  <c r="G8" i="2"/>
  <c r="G11" i="2"/>
  <c r="G21" i="2"/>
  <c r="G13" i="2"/>
  <c r="G5" i="2"/>
  <c r="G18" i="2"/>
  <c r="G10" i="2"/>
  <c r="G17" i="2"/>
  <c r="G19" i="2"/>
  <c r="G15" i="2"/>
  <c r="G7" i="2"/>
  <c r="G9" i="2"/>
  <c r="G20" i="2"/>
  <c r="G12" i="2"/>
  <c r="H9" i="2" l="1"/>
  <c r="H17" i="2"/>
  <c r="H4" i="2"/>
  <c r="H12" i="2"/>
  <c r="H20" i="2"/>
  <c r="H7" i="2"/>
  <c r="H15" i="2"/>
  <c r="H8" i="2"/>
  <c r="H10" i="2"/>
  <c r="H18" i="2"/>
  <c r="H16" i="2"/>
  <c r="H5" i="2"/>
  <c r="H13" i="2"/>
  <c r="H21" i="2"/>
  <c r="H3" i="2"/>
  <c r="H11" i="2"/>
  <c r="H19" i="2"/>
  <c r="H6" i="2"/>
  <c r="H14" i="2"/>
  <c r="E6" i="2"/>
  <c r="E14" i="2"/>
  <c r="E2" i="2"/>
  <c r="E9" i="2"/>
  <c r="E17" i="2"/>
  <c r="E7" i="2"/>
  <c r="E4" i="2"/>
  <c r="E12" i="2"/>
  <c r="E20" i="2"/>
  <c r="E15" i="2"/>
  <c r="E13" i="2"/>
  <c r="E21" i="2"/>
  <c r="E3" i="2"/>
  <c r="E11" i="2"/>
  <c r="E19" i="2"/>
  <c r="E10" i="2"/>
  <c r="E18" i="2"/>
  <c r="E5" i="2"/>
  <c r="E8" i="2"/>
  <c r="E16" i="2"/>
  <c r="F3" i="2"/>
  <c r="F11" i="2"/>
  <c r="F19" i="2"/>
  <c r="F6" i="2"/>
  <c r="F14" i="2"/>
  <c r="F18" i="2"/>
  <c r="F9" i="2"/>
  <c r="F17" i="2"/>
  <c r="F4" i="2"/>
  <c r="F12" i="2"/>
  <c r="F20" i="2"/>
  <c r="F10" i="2"/>
  <c r="F7" i="2"/>
  <c r="F15" i="2"/>
  <c r="F5" i="2"/>
  <c r="F13" i="2"/>
  <c r="F21" i="2"/>
  <c r="F8" i="2"/>
  <c r="F16" i="2"/>
  <c r="F2" i="2"/>
</calcChain>
</file>

<file path=xl/sharedStrings.xml><?xml version="1.0" encoding="utf-8"?>
<sst xmlns="http://schemas.openxmlformats.org/spreadsheetml/2006/main" count="47" uniqueCount="30">
  <si>
    <t>Sample</t>
  </si>
  <si>
    <t>Concentration</t>
  </si>
  <si>
    <t>MR</t>
  </si>
  <si>
    <t>Average (CL)</t>
  </si>
  <si>
    <t>UCL</t>
  </si>
  <si>
    <t>LCL</t>
  </si>
  <si>
    <t>CL</t>
  </si>
  <si>
    <t>USL</t>
  </si>
  <si>
    <t>LSL</t>
  </si>
  <si>
    <t>mean</t>
  </si>
  <si>
    <t>standard deviation</t>
  </si>
  <si>
    <t>PCR</t>
  </si>
  <si>
    <t>PCRk</t>
  </si>
  <si>
    <t>P(X &lt; LSL)</t>
  </si>
  <si>
    <t xml:space="preserve">  = P(Z &lt; -11.33) =</t>
  </si>
  <si>
    <t xml:space="preserve">  = P(Z &gt; 2) =</t>
  </si>
  <si>
    <t>P(X &gt; USL)</t>
  </si>
  <si>
    <r>
      <t xml:space="preserve">Every hour, </t>
    </r>
    <r>
      <rPr>
        <b/>
        <sz val="11"/>
        <color theme="1"/>
        <rFont val="Calibri"/>
        <family val="2"/>
        <scheme val="minor"/>
      </rPr>
      <t xml:space="preserve">five boards </t>
    </r>
    <r>
      <rPr>
        <sz val="11"/>
        <color theme="1"/>
        <rFont val="Calibri"/>
        <family val="2"/>
        <scheme val="minor"/>
      </rPr>
      <t>are selected and inspected for process-control purpose.</t>
    </r>
  </si>
  <si>
    <t>Number of Defects</t>
  </si>
  <si>
    <t>Defects per Unit</t>
  </si>
  <si>
    <t>p-bar</t>
  </si>
  <si>
    <t>sample  size</t>
  </si>
  <si>
    <t>n</t>
  </si>
  <si>
    <r>
      <t>Concentration (x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>)</t>
    </r>
  </si>
  <si>
    <t>Target for process mean = 99</t>
  </si>
  <si>
    <r>
      <t>x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 xml:space="preserve"> - 99</t>
    </r>
  </si>
  <si>
    <r>
      <t>s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 xml:space="preserve"> = (x</t>
    </r>
    <r>
      <rPr>
        <b/>
        <vertAlign val="subscript"/>
        <sz val="11"/>
        <color theme="0"/>
        <rFont val="Calibri"/>
        <family val="2"/>
        <scheme val="minor"/>
      </rPr>
      <t>i</t>
    </r>
    <r>
      <rPr>
        <b/>
        <sz val="11"/>
        <color theme="0"/>
        <rFont val="Calibri"/>
        <family val="2"/>
        <scheme val="minor"/>
      </rPr>
      <t xml:space="preserve"> - 99) + s</t>
    </r>
    <r>
      <rPr>
        <b/>
        <vertAlign val="subscript"/>
        <sz val="11"/>
        <color theme="0"/>
        <rFont val="Calibri"/>
        <family val="2"/>
        <scheme val="minor"/>
      </rPr>
      <t>i-1</t>
    </r>
  </si>
  <si>
    <t>Moving Average (4)</t>
  </si>
  <si>
    <t>no negative num for LCL so 0 is the number we will use</t>
  </si>
  <si>
    <t>Moving Average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</si>
</sst>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darkUp">
        <fgColor theme="4" tint="0.79998168889431442"/>
        <bgColor theme="4" tint="-0.249977111117893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darkUp">
        <fgColor rgb="FFD9E1F2"/>
        <bgColor rgb="FF305496"/>
      </patternFill>
    </fill>
  </fills>
  <borders count="5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 applyAlignment="1">
      <alignment horizontal="center"/>
    </xf>
    <xf numFmtId="165" fontId="0" fillId="4" borderId="1" xfId="0" applyNumberFormat="1" applyFill="1" applyBorder="1"/>
    <xf numFmtId="2" fontId="1" fillId="3" borderId="1" xfId="0" applyNumberFormat="1" applyFont="1" applyFill="1" applyBorder="1"/>
    <xf numFmtId="0" fontId="1" fillId="3" borderId="1" xfId="0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1" fillId="3" borderId="0" xfId="0" applyFont="1" applyFill="1" applyAlignment="1">
      <alignment horizontal="left"/>
    </xf>
    <xf numFmtId="2" fontId="0" fillId="4" borderId="1" xfId="0" applyNumberFormat="1" applyFill="1" applyBorder="1"/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0" fillId="0" borderId="0" xfId="0" applyNumberFormat="1"/>
    <xf numFmtId="164" fontId="8" fillId="5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Concentration!$B$1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Concentration!$B$2:$B$21</c:f>
              <c:numCache>
                <c:formatCode>0.0</c:formatCode>
                <c:ptCount val="20"/>
                <c:pt idx="0">
                  <c:v>102</c:v>
                </c:pt>
                <c:pt idx="1">
                  <c:v>94.8</c:v>
                </c:pt>
                <c:pt idx="2">
                  <c:v>98.3</c:v>
                </c:pt>
                <c:pt idx="3">
                  <c:v>98.4</c:v>
                </c:pt>
                <c:pt idx="4">
                  <c:v>102</c:v>
                </c:pt>
                <c:pt idx="5">
                  <c:v>98.5</c:v>
                </c:pt>
                <c:pt idx="6">
                  <c:v>99</c:v>
                </c:pt>
                <c:pt idx="7">
                  <c:v>97.7</c:v>
                </c:pt>
                <c:pt idx="8">
                  <c:v>100</c:v>
                </c:pt>
                <c:pt idx="9">
                  <c:v>98.1</c:v>
                </c:pt>
                <c:pt idx="10">
                  <c:v>101.3</c:v>
                </c:pt>
                <c:pt idx="11">
                  <c:v>98.7</c:v>
                </c:pt>
                <c:pt idx="12">
                  <c:v>101.1</c:v>
                </c:pt>
                <c:pt idx="13">
                  <c:v>98.4</c:v>
                </c:pt>
                <c:pt idx="14">
                  <c:v>97</c:v>
                </c:pt>
                <c:pt idx="15">
                  <c:v>96.7</c:v>
                </c:pt>
                <c:pt idx="16">
                  <c:v>100.3</c:v>
                </c:pt>
                <c:pt idx="17">
                  <c:v>101.4</c:v>
                </c:pt>
                <c:pt idx="18">
                  <c:v>97.2</c:v>
                </c:pt>
                <c:pt idx="1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57-4A8C-8FAC-EEC172B035C4}"/>
            </c:ext>
          </c:extLst>
        </c:ser>
        <c:ser>
          <c:idx val="1"/>
          <c:order val="1"/>
          <c:tx>
            <c:strRef>
              <c:f>Concentration!$D$1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Concentration!$D$2:$D$21</c:f>
              <c:numCache>
                <c:formatCode>0.0</c:formatCode>
                <c:ptCount val="20"/>
                <c:pt idx="0">
                  <c:v>99.095000000000013</c:v>
                </c:pt>
                <c:pt idx="1">
                  <c:v>99.095000000000013</c:v>
                </c:pt>
                <c:pt idx="2">
                  <c:v>99.095000000000013</c:v>
                </c:pt>
                <c:pt idx="3">
                  <c:v>99.095000000000013</c:v>
                </c:pt>
                <c:pt idx="4">
                  <c:v>99.095000000000013</c:v>
                </c:pt>
                <c:pt idx="5">
                  <c:v>99.095000000000013</c:v>
                </c:pt>
                <c:pt idx="6">
                  <c:v>99.095000000000013</c:v>
                </c:pt>
                <c:pt idx="7">
                  <c:v>99.095000000000013</c:v>
                </c:pt>
                <c:pt idx="8">
                  <c:v>99.095000000000013</c:v>
                </c:pt>
                <c:pt idx="9">
                  <c:v>99.095000000000013</c:v>
                </c:pt>
                <c:pt idx="10">
                  <c:v>99.095000000000013</c:v>
                </c:pt>
                <c:pt idx="11">
                  <c:v>99.095000000000013</c:v>
                </c:pt>
                <c:pt idx="12">
                  <c:v>99.095000000000013</c:v>
                </c:pt>
                <c:pt idx="13">
                  <c:v>99.095000000000013</c:v>
                </c:pt>
                <c:pt idx="14">
                  <c:v>99.095000000000013</c:v>
                </c:pt>
                <c:pt idx="15">
                  <c:v>99.095000000000013</c:v>
                </c:pt>
                <c:pt idx="16">
                  <c:v>99.095000000000013</c:v>
                </c:pt>
                <c:pt idx="17">
                  <c:v>99.095000000000013</c:v>
                </c:pt>
                <c:pt idx="18">
                  <c:v>99.095000000000013</c:v>
                </c:pt>
                <c:pt idx="19">
                  <c:v>99.095000000000013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57-4A8C-8FAC-EEC172B035C4}"/>
            </c:ext>
          </c:extLst>
        </c:ser>
        <c:ser>
          <c:idx val="2"/>
          <c:order val="2"/>
          <c:tx>
            <c:strRef>
              <c:f>Concentration!$E$1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Concentration!$E$2:$E$21</c:f>
              <c:numCache>
                <c:formatCode>0.0</c:formatCode>
                <c:ptCount val="20"/>
                <c:pt idx="0">
                  <c:v>105.9818980963046</c:v>
                </c:pt>
                <c:pt idx="1">
                  <c:v>105.9818980963046</c:v>
                </c:pt>
                <c:pt idx="2">
                  <c:v>105.9818980963046</c:v>
                </c:pt>
                <c:pt idx="3">
                  <c:v>105.9818980963046</c:v>
                </c:pt>
                <c:pt idx="4">
                  <c:v>105.9818980963046</c:v>
                </c:pt>
                <c:pt idx="5">
                  <c:v>105.9818980963046</c:v>
                </c:pt>
                <c:pt idx="6">
                  <c:v>105.9818980963046</c:v>
                </c:pt>
                <c:pt idx="7">
                  <c:v>105.9818980963046</c:v>
                </c:pt>
                <c:pt idx="8">
                  <c:v>105.9818980963046</c:v>
                </c:pt>
                <c:pt idx="9">
                  <c:v>105.9818980963046</c:v>
                </c:pt>
                <c:pt idx="10">
                  <c:v>105.9818980963046</c:v>
                </c:pt>
                <c:pt idx="11">
                  <c:v>105.9818980963046</c:v>
                </c:pt>
                <c:pt idx="12">
                  <c:v>105.9818980963046</c:v>
                </c:pt>
                <c:pt idx="13">
                  <c:v>105.9818980963046</c:v>
                </c:pt>
                <c:pt idx="14">
                  <c:v>105.9818980963046</c:v>
                </c:pt>
                <c:pt idx="15">
                  <c:v>105.9818980963046</c:v>
                </c:pt>
                <c:pt idx="16">
                  <c:v>105.9818980963046</c:v>
                </c:pt>
                <c:pt idx="17">
                  <c:v>105.9818980963046</c:v>
                </c:pt>
                <c:pt idx="18">
                  <c:v>105.9818980963046</c:v>
                </c:pt>
                <c:pt idx="19">
                  <c:v>105.9818980963046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57-4A8C-8FAC-EEC172B035C4}"/>
            </c:ext>
          </c:extLst>
        </c:ser>
        <c:ser>
          <c:idx val="3"/>
          <c:order val="3"/>
          <c:tx>
            <c:strRef>
              <c:f>Concentration!$F$1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Concentration!$F$2:$F$21</c:f>
              <c:numCache>
                <c:formatCode>0.0</c:formatCode>
                <c:ptCount val="20"/>
                <c:pt idx="0">
                  <c:v>92.208101903695422</c:v>
                </c:pt>
                <c:pt idx="1">
                  <c:v>92.208101903695422</c:v>
                </c:pt>
                <c:pt idx="2">
                  <c:v>92.208101903695422</c:v>
                </c:pt>
                <c:pt idx="3">
                  <c:v>92.208101903695422</c:v>
                </c:pt>
                <c:pt idx="4">
                  <c:v>92.208101903695422</c:v>
                </c:pt>
                <c:pt idx="5">
                  <c:v>92.208101903695422</c:v>
                </c:pt>
                <c:pt idx="6">
                  <c:v>92.208101903695422</c:v>
                </c:pt>
                <c:pt idx="7">
                  <c:v>92.208101903695422</c:v>
                </c:pt>
                <c:pt idx="8">
                  <c:v>92.208101903695422</c:v>
                </c:pt>
                <c:pt idx="9">
                  <c:v>92.208101903695422</c:v>
                </c:pt>
                <c:pt idx="10">
                  <c:v>92.208101903695422</c:v>
                </c:pt>
                <c:pt idx="11">
                  <c:v>92.208101903695422</c:v>
                </c:pt>
                <c:pt idx="12">
                  <c:v>92.208101903695422</c:v>
                </c:pt>
                <c:pt idx="13">
                  <c:v>92.208101903695422</c:v>
                </c:pt>
                <c:pt idx="14">
                  <c:v>92.208101903695422</c:v>
                </c:pt>
                <c:pt idx="15">
                  <c:v>92.208101903695422</c:v>
                </c:pt>
                <c:pt idx="16">
                  <c:v>92.208101903695422</c:v>
                </c:pt>
                <c:pt idx="17">
                  <c:v>92.208101903695422</c:v>
                </c:pt>
                <c:pt idx="18">
                  <c:v>92.208101903695422</c:v>
                </c:pt>
                <c:pt idx="19">
                  <c:v>92.208101903695422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57-4A8C-8FAC-EEC172B03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994639"/>
        <c:axId val="331314207"/>
      </c:lineChart>
      <c:catAx>
        <c:axId val="551994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14207"/>
        <c:crosses val="autoZero"/>
        <c:auto val="1"/>
        <c:lblAlgn val="ctr"/>
        <c:lblOffset val="100"/>
        <c:noMultiLvlLbl val="0"/>
      </c:catAx>
      <c:valAx>
        <c:axId val="3313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9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Concentration!$C$1</c:f>
              <c:strCache>
                <c:ptCount val="1"/>
                <c:pt idx="0">
                  <c:v>MR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Concentration!$C$2:$C$21</c:f>
              <c:numCache>
                <c:formatCode>0.0</c:formatCode>
                <c:ptCount val="20"/>
                <c:pt idx="1">
                  <c:v>7.2000000000000028</c:v>
                </c:pt>
                <c:pt idx="2">
                  <c:v>3.5</c:v>
                </c:pt>
                <c:pt idx="3">
                  <c:v>0.10000000000000853</c:v>
                </c:pt>
                <c:pt idx="4">
                  <c:v>3.5999999999999943</c:v>
                </c:pt>
                <c:pt idx="5">
                  <c:v>3.5</c:v>
                </c:pt>
                <c:pt idx="6">
                  <c:v>0.5</c:v>
                </c:pt>
                <c:pt idx="7">
                  <c:v>1.2999999999999972</c:v>
                </c:pt>
                <c:pt idx="8">
                  <c:v>2.2999999999999972</c:v>
                </c:pt>
                <c:pt idx="9">
                  <c:v>1.9000000000000057</c:v>
                </c:pt>
                <c:pt idx="10">
                  <c:v>3.2000000000000028</c:v>
                </c:pt>
                <c:pt idx="11">
                  <c:v>2.5999999999999943</c:v>
                </c:pt>
                <c:pt idx="12">
                  <c:v>2.3999999999999915</c:v>
                </c:pt>
                <c:pt idx="13">
                  <c:v>2.6999999999999886</c:v>
                </c:pt>
                <c:pt idx="14">
                  <c:v>1.4000000000000057</c:v>
                </c:pt>
                <c:pt idx="15">
                  <c:v>0.29999999999999716</c:v>
                </c:pt>
                <c:pt idx="16">
                  <c:v>3.5999999999999943</c:v>
                </c:pt>
                <c:pt idx="17">
                  <c:v>1.1000000000000085</c:v>
                </c:pt>
                <c:pt idx="18">
                  <c:v>4.2000000000000028</c:v>
                </c:pt>
                <c:pt idx="19">
                  <c:v>3.7999999999999972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78-4FC3-9194-78A640AD3D39}"/>
            </c:ext>
          </c:extLst>
        </c:ser>
        <c:ser>
          <c:idx val="1"/>
          <c:order val="1"/>
          <c:tx>
            <c:strRef>
              <c:f>Concentration!$G$1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Concentration!$G$2:$G$21</c:f>
              <c:numCache>
                <c:formatCode>0.0</c:formatCode>
                <c:ptCount val="20"/>
                <c:pt idx="1">
                  <c:v>2.5894736842105259</c:v>
                </c:pt>
                <c:pt idx="2">
                  <c:v>2.5894736842105259</c:v>
                </c:pt>
                <c:pt idx="3">
                  <c:v>2.5894736842105259</c:v>
                </c:pt>
                <c:pt idx="4">
                  <c:v>2.5894736842105259</c:v>
                </c:pt>
                <c:pt idx="5">
                  <c:v>2.5894736842105259</c:v>
                </c:pt>
                <c:pt idx="6">
                  <c:v>2.5894736842105259</c:v>
                </c:pt>
                <c:pt idx="7">
                  <c:v>2.5894736842105259</c:v>
                </c:pt>
                <c:pt idx="8">
                  <c:v>2.5894736842105259</c:v>
                </c:pt>
                <c:pt idx="9">
                  <c:v>2.5894736842105259</c:v>
                </c:pt>
                <c:pt idx="10">
                  <c:v>2.5894736842105259</c:v>
                </c:pt>
                <c:pt idx="11">
                  <c:v>2.5894736842105259</c:v>
                </c:pt>
                <c:pt idx="12">
                  <c:v>2.5894736842105259</c:v>
                </c:pt>
                <c:pt idx="13">
                  <c:v>2.5894736842105259</c:v>
                </c:pt>
                <c:pt idx="14">
                  <c:v>2.5894736842105259</c:v>
                </c:pt>
                <c:pt idx="15">
                  <c:v>2.5894736842105259</c:v>
                </c:pt>
                <c:pt idx="16">
                  <c:v>2.5894736842105259</c:v>
                </c:pt>
                <c:pt idx="17">
                  <c:v>2.5894736842105259</c:v>
                </c:pt>
                <c:pt idx="18">
                  <c:v>2.5894736842105259</c:v>
                </c:pt>
                <c:pt idx="19">
                  <c:v>2.5894736842105259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78-4FC3-9194-78A640AD3D39}"/>
            </c:ext>
          </c:extLst>
        </c:ser>
        <c:ser>
          <c:idx val="2"/>
          <c:order val="2"/>
          <c:tx>
            <c:strRef>
              <c:f>Concentration!$H$1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Concentration!$H$2:$H$21</c:f>
              <c:numCache>
                <c:formatCode>0.0</c:formatCode>
                <c:ptCount val="20"/>
                <c:pt idx="1">
                  <c:v>8.4598105263157883</c:v>
                </c:pt>
                <c:pt idx="2">
                  <c:v>8.4598105263157883</c:v>
                </c:pt>
                <c:pt idx="3">
                  <c:v>8.4598105263157883</c:v>
                </c:pt>
                <c:pt idx="4">
                  <c:v>8.4598105263157883</c:v>
                </c:pt>
                <c:pt idx="5">
                  <c:v>8.4598105263157883</c:v>
                </c:pt>
                <c:pt idx="6">
                  <c:v>8.4598105263157883</c:v>
                </c:pt>
                <c:pt idx="7">
                  <c:v>8.4598105263157883</c:v>
                </c:pt>
                <c:pt idx="8">
                  <c:v>8.4598105263157883</c:v>
                </c:pt>
                <c:pt idx="9">
                  <c:v>8.4598105263157883</c:v>
                </c:pt>
                <c:pt idx="10">
                  <c:v>8.4598105263157883</c:v>
                </c:pt>
                <c:pt idx="11">
                  <c:v>8.4598105263157883</c:v>
                </c:pt>
                <c:pt idx="12">
                  <c:v>8.4598105263157883</c:v>
                </c:pt>
                <c:pt idx="13">
                  <c:v>8.4598105263157883</c:v>
                </c:pt>
                <c:pt idx="14">
                  <c:v>8.4598105263157883</c:v>
                </c:pt>
                <c:pt idx="15">
                  <c:v>8.4598105263157883</c:v>
                </c:pt>
                <c:pt idx="16">
                  <c:v>8.4598105263157883</c:v>
                </c:pt>
                <c:pt idx="17">
                  <c:v>8.4598105263157883</c:v>
                </c:pt>
                <c:pt idx="18">
                  <c:v>8.4598105263157883</c:v>
                </c:pt>
                <c:pt idx="19">
                  <c:v>8.4598105263157883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78-4FC3-9194-78A640AD3D39}"/>
            </c:ext>
          </c:extLst>
        </c:ser>
        <c:ser>
          <c:idx val="3"/>
          <c:order val="3"/>
          <c:tx>
            <c:strRef>
              <c:f>Concentration!$I$1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Concentration!$I$2:$I$21</c:f>
              <c:numCache>
                <c:formatCode>0.0</c:formatCode>
                <c:ptCount val="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78-4FC3-9194-78A640AD3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598111"/>
        <c:axId val="342070367"/>
      </c:lineChart>
      <c:catAx>
        <c:axId val="5835981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70367"/>
        <c:crosses val="autoZero"/>
        <c:auto val="1"/>
        <c:lblAlgn val="ctr"/>
        <c:lblOffset val="100"/>
        <c:noMultiLvlLbl val="0"/>
      </c:catAx>
      <c:valAx>
        <c:axId val="34207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9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CircuitBoard!$C$2</c:f>
              <c:strCache>
                <c:ptCount val="1"/>
                <c:pt idx="0">
                  <c:v>Defects per Unit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CircuitBoard!$C$3:$C$22</c:f>
              <c:numCache>
                <c:formatCode>0.0</c:formatCode>
                <c:ptCount val="20"/>
                <c:pt idx="0">
                  <c:v>1.2</c:v>
                </c:pt>
                <c:pt idx="1">
                  <c:v>0.8</c:v>
                </c:pt>
                <c:pt idx="2">
                  <c:v>1.6</c:v>
                </c:pt>
                <c:pt idx="3">
                  <c:v>2</c:v>
                </c:pt>
                <c:pt idx="4">
                  <c:v>1.8</c:v>
                </c:pt>
                <c:pt idx="5">
                  <c:v>2.4</c:v>
                </c:pt>
                <c:pt idx="6">
                  <c:v>3.2</c:v>
                </c:pt>
                <c:pt idx="7">
                  <c:v>0.4</c:v>
                </c:pt>
                <c:pt idx="8">
                  <c:v>0.6</c:v>
                </c:pt>
                <c:pt idx="9">
                  <c:v>2</c:v>
                </c:pt>
                <c:pt idx="10">
                  <c:v>1.8</c:v>
                </c:pt>
                <c:pt idx="11">
                  <c:v>3</c:v>
                </c:pt>
                <c:pt idx="12">
                  <c:v>1.6</c:v>
                </c:pt>
                <c:pt idx="13">
                  <c:v>2</c:v>
                </c:pt>
                <c:pt idx="14">
                  <c:v>1.6</c:v>
                </c:pt>
                <c:pt idx="15">
                  <c:v>0.4</c:v>
                </c:pt>
                <c:pt idx="16">
                  <c:v>1.4</c:v>
                </c:pt>
                <c:pt idx="17">
                  <c:v>0.2</c:v>
                </c:pt>
                <c:pt idx="18">
                  <c:v>1.4</c:v>
                </c:pt>
                <c:pt idx="19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3-43D7-8BF3-24FC4E08EC4C}"/>
            </c:ext>
          </c:extLst>
        </c:ser>
        <c:ser>
          <c:idx val="1"/>
          <c:order val="1"/>
          <c:tx>
            <c:strRef>
              <c:f>CircuitBoard!$D$2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CircuitBoard!$D$3:$D$22</c:f>
              <c:numCache>
                <c:formatCode>0.0</c:formatCode>
                <c:ptCount val="20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3-43D7-8BF3-24FC4E08EC4C}"/>
            </c:ext>
          </c:extLst>
        </c:ser>
        <c:ser>
          <c:idx val="2"/>
          <c:order val="2"/>
          <c:tx>
            <c:strRef>
              <c:f>CircuitBoard!$E$2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CircuitBoard!$E$3:$E$22</c:f>
              <c:numCache>
                <c:formatCode>0.0</c:formatCode>
                <c:ptCount val="20"/>
                <c:pt idx="0">
                  <c:v>3.2970562748477139</c:v>
                </c:pt>
                <c:pt idx="1">
                  <c:v>3.2970562748477139</c:v>
                </c:pt>
                <c:pt idx="2">
                  <c:v>3.2970562748477139</c:v>
                </c:pt>
                <c:pt idx="3">
                  <c:v>3.2970562748477139</c:v>
                </c:pt>
                <c:pt idx="4">
                  <c:v>3.2970562748477139</c:v>
                </c:pt>
                <c:pt idx="5">
                  <c:v>3.2970562748477139</c:v>
                </c:pt>
                <c:pt idx="6">
                  <c:v>3.2970562748477139</c:v>
                </c:pt>
                <c:pt idx="7">
                  <c:v>3.2970562748477139</c:v>
                </c:pt>
                <c:pt idx="8">
                  <c:v>3.2970562748477139</c:v>
                </c:pt>
                <c:pt idx="9">
                  <c:v>3.2970562748477139</c:v>
                </c:pt>
                <c:pt idx="10">
                  <c:v>3.2970562748477139</c:v>
                </c:pt>
                <c:pt idx="11">
                  <c:v>3.2970562748477139</c:v>
                </c:pt>
                <c:pt idx="12">
                  <c:v>3.2970562748477139</c:v>
                </c:pt>
                <c:pt idx="13">
                  <c:v>3.2970562748477139</c:v>
                </c:pt>
                <c:pt idx="14">
                  <c:v>3.2970562748477139</c:v>
                </c:pt>
                <c:pt idx="15">
                  <c:v>3.2970562748477139</c:v>
                </c:pt>
                <c:pt idx="16">
                  <c:v>3.2970562748477139</c:v>
                </c:pt>
                <c:pt idx="17">
                  <c:v>3.2970562748477139</c:v>
                </c:pt>
                <c:pt idx="18">
                  <c:v>3.2970562748477139</c:v>
                </c:pt>
                <c:pt idx="19">
                  <c:v>3.2970562748477139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3-43D7-8BF3-24FC4E08EC4C}"/>
            </c:ext>
          </c:extLst>
        </c:ser>
        <c:ser>
          <c:idx val="3"/>
          <c:order val="3"/>
          <c:tx>
            <c:strRef>
              <c:f>CircuitBoard!$F$2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CircuitBoard!$F$3:$F$22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B3-43D7-8BF3-24FC4E08E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095119"/>
        <c:axId val="594945359"/>
      </c:lineChart>
      <c:catAx>
        <c:axId val="59609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945359"/>
        <c:crosses val="autoZero"/>
        <c:auto val="1"/>
        <c:lblAlgn val="ctr"/>
        <c:lblOffset val="100"/>
        <c:noMultiLvlLbl val="0"/>
      </c:catAx>
      <c:valAx>
        <c:axId val="59494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9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en-US" baseline="-25000"/>
              <a:t>i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'Concentration-2'!$D$2</c:f>
              <c:strCache>
                <c:ptCount val="1"/>
                <c:pt idx="0">
                  <c:v>si = (xi - 99) + si-1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'Concentration-2'!$D$3:$D$22</c:f>
              <c:numCache>
                <c:formatCode>0.0</c:formatCode>
                <c:ptCount val="20"/>
                <c:pt idx="0">
                  <c:v>3</c:v>
                </c:pt>
                <c:pt idx="1">
                  <c:v>-1.2000000000000028</c:v>
                </c:pt>
                <c:pt idx="2">
                  <c:v>-1.9000000000000057</c:v>
                </c:pt>
                <c:pt idx="3">
                  <c:v>-2.5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-1.2999999999999972</c:v>
                </c:pt>
                <c:pt idx="8">
                  <c:v>-0.29999999999999716</c:v>
                </c:pt>
                <c:pt idx="9">
                  <c:v>-1.2000000000000028</c:v>
                </c:pt>
                <c:pt idx="10">
                  <c:v>1.0999999999999943</c:v>
                </c:pt>
                <c:pt idx="11">
                  <c:v>0.79999999999999716</c:v>
                </c:pt>
                <c:pt idx="12">
                  <c:v>2.8999999999999915</c:v>
                </c:pt>
                <c:pt idx="13">
                  <c:v>2.2999999999999972</c:v>
                </c:pt>
                <c:pt idx="14">
                  <c:v>0.29999999999999716</c:v>
                </c:pt>
                <c:pt idx="15">
                  <c:v>-2</c:v>
                </c:pt>
                <c:pt idx="16">
                  <c:v>-0.70000000000000284</c:v>
                </c:pt>
                <c:pt idx="17">
                  <c:v>1.7000000000000028</c:v>
                </c:pt>
                <c:pt idx="18">
                  <c:v>-9.9999999999994316E-2</c:v>
                </c:pt>
                <c:pt idx="19">
                  <c:v>1.9000000000000057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9-45ED-9657-A60D70775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848895"/>
        <c:axId val="561015183"/>
      </c:lineChart>
      <c:catAx>
        <c:axId val="666848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15183"/>
        <c:crosses val="autoZero"/>
        <c:auto val="1"/>
        <c:lblAlgn val="ctr"/>
        <c:lblOffset val="100"/>
        <c:noMultiLvlLbl val="0"/>
      </c:catAx>
      <c:valAx>
        <c:axId val="56101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'Concentration-2'!$B$2</c:f>
              <c:strCache>
                <c:ptCount val="1"/>
                <c:pt idx="0">
                  <c:v>Concentration (xi)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'Concentration-2'!$B$3:$B$22</c:f>
              <c:numCache>
                <c:formatCode>0.0</c:formatCode>
                <c:ptCount val="20"/>
                <c:pt idx="0">
                  <c:v>102</c:v>
                </c:pt>
                <c:pt idx="1">
                  <c:v>94.8</c:v>
                </c:pt>
                <c:pt idx="2">
                  <c:v>98.3</c:v>
                </c:pt>
                <c:pt idx="3">
                  <c:v>98.4</c:v>
                </c:pt>
                <c:pt idx="4">
                  <c:v>102</c:v>
                </c:pt>
                <c:pt idx="5">
                  <c:v>98.5</c:v>
                </c:pt>
                <c:pt idx="6">
                  <c:v>99</c:v>
                </c:pt>
                <c:pt idx="7">
                  <c:v>97.7</c:v>
                </c:pt>
                <c:pt idx="8">
                  <c:v>100</c:v>
                </c:pt>
                <c:pt idx="9">
                  <c:v>98.1</c:v>
                </c:pt>
                <c:pt idx="10">
                  <c:v>101.3</c:v>
                </c:pt>
                <c:pt idx="11">
                  <c:v>98.7</c:v>
                </c:pt>
                <c:pt idx="12">
                  <c:v>101.1</c:v>
                </c:pt>
                <c:pt idx="13">
                  <c:v>98.4</c:v>
                </c:pt>
                <c:pt idx="14">
                  <c:v>97</c:v>
                </c:pt>
                <c:pt idx="15">
                  <c:v>96.7</c:v>
                </c:pt>
                <c:pt idx="16">
                  <c:v>100.3</c:v>
                </c:pt>
                <c:pt idx="17">
                  <c:v>101.4</c:v>
                </c:pt>
                <c:pt idx="18">
                  <c:v>97.2</c:v>
                </c:pt>
                <c:pt idx="1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2-4E61-8014-6B8BC7CFD3D4}"/>
            </c:ext>
          </c:extLst>
        </c:ser>
        <c:ser>
          <c:idx val="1"/>
          <c:order val="1"/>
          <c:tx>
            <c:strRef>
              <c:f>'Concentration-2'!$E$2</c:f>
              <c:strCache>
                <c:ptCount val="1"/>
                <c:pt idx="0">
                  <c:v>Moving Average (4)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'Concentration-2'!$E$3:$E$22</c:f>
              <c:numCache>
                <c:formatCode>0.0</c:formatCode>
                <c:ptCount val="20"/>
                <c:pt idx="3">
                  <c:v>98.375</c:v>
                </c:pt>
                <c:pt idx="4">
                  <c:v>98.375</c:v>
                </c:pt>
                <c:pt idx="5">
                  <c:v>99.3</c:v>
                </c:pt>
                <c:pt idx="6">
                  <c:v>99.474999999999994</c:v>
                </c:pt>
                <c:pt idx="7">
                  <c:v>99.3</c:v>
                </c:pt>
                <c:pt idx="8">
                  <c:v>98.8</c:v>
                </c:pt>
                <c:pt idx="9">
                  <c:v>98.699999999999989</c:v>
                </c:pt>
                <c:pt idx="10">
                  <c:v>99.274999999999991</c:v>
                </c:pt>
                <c:pt idx="11">
                  <c:v>99.524999999999991</c:v>
                </c:pt>
                <c:pt idx="12">
                  <c:v>99.799999999999983</c:v>
                </c:pt>
                <c:pt idx="13">
                  <c:v>99.875</c:v>
                </c:pt>
                <c:pt idx="14">
                  <c:v>98.800000000000011</c:v>
                </c:pt>
                <c:pt idx="15">
                  <c:v>98.3</c:v>
                </c:pt>
                <c:pt idx="16">
                  <c:v>98.100000000000009</c:v>
                </c:pt>
                <c:pt idx="17">
                  <c:v>98.85</c:v>
                </c:pt>
                <c:pt idx="18">
                  <c:v>98.899999999999991</c:v>
                </c:pt>
                <c:pt idx="19">
                  <c:v>99.974999999999994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2-4E61-8014-6B8BC7CFD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714383"/>
        <c:axId val="561014351"/>
      </c:lineChart>
      <c:catAx>
        <c:axId val="1142714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14351"/>
        <c:crosses val="autoZero"/>
        <c:auto val="1"/>
        <c:lblAlgn val="ctr"/>
        <c:lblOffset val="100"/>
        <c:noMultiLvlLbl val="0"/>
      </c:catAx>
      <c:valAx>
        <c:axId val="56101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1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596900</xdr:colOff>
      <xdr:row>35</xdr:row>
      <xdr:rowOff>183312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AD7C4-E25E-4C19-BE68-DCB8C014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92900" cy="68508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38100</xdr:rowOff>
    </xdr:from>
    <xdr:to>
      <xdr:col>5</xdr:col>
      <xdr:colOff>38452</xdr:colOff>
      <xdr:row>32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82BF96-3B2C-4CF9-A3B3-9B0E4BD20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10300"/>
          <a:ext cx="4410427" cy="2171700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0</xdr:row>
      <xdr:rowOff>28575</xdr:rowOff>
    </xdr:from>
    <xdr:to>
      <xdr:col>15</xdr:col>
      <xdr:colOff>304800</xdr:colOff>
      <xdr:row>11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A2F7BD-771D-4A42-849D-1A5E1E1C3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</xdr:colOff>
      <xdr:row>11</xdr:row>
      <xdr:rowOff>114300</xdr:rowOff>
    </xdr:from>
    <xdr:to>
      <xdr:col>15</xdr:col>
      <xdr:colOff>309562</xdr:colOff>
      <xdr:row>22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BFF040-62BC-4411-A74E-C1D958104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4</xdr:row>
      <xdr:rowOff>19050</xdr:rowOff>
    </xdr:from>
    <xdr:to>
      <xdr:col>4</xdr:col>
      <xdr:colOff>782268</xdr:colOff>
      <xdr:row>6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AB581-47CF-4C00-80F6-698F21E54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009650"/>
          <a:ext cx="2849193" cy="7143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7</xdr:row>
      <xdr:rowOff>9524</xdr:rowOff>
    </xdr:from>
    <xdr:to>
      <xdr:col>4</xdr:col>
      <xdr:colOff>814786</xdr:colOff>
      <xdr:row>9</xdr:row>
      <xdr:rowOff>19049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08A626-AF5F-4048-91A1-12FCA6D1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4036" y="1797742"/>
          <a:ext cx="3194830" cy="5204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8</xdr:row>
      <xdr:rowOff>28575</xdr:rowOff>
    </xdr:from>
    <xdr:to>
      <xdr:col>3</xdr:col>
      <xdr:colOff>683482</xdr:colOff>
      <xdr:row>12</xdr:row>
      <xdr:rowOff>209550</xdr:rowOff>
    </xdr:to>
    <xdr:pic>
      <xdr:nvPicPr>
        <xdr:cNvPr id="2" name="Content Placeholder 4">
          <a:extLst>
            <a:ext uri="{FF2B5EF4-FFF2-40B4-BE49-F238E27FC236}">
              <a16:creationId xmlns:a16="http://schemas.microsoft.com/office/drawing/2014/main" id="{14D73C82-346A-4299-B7EA-5C9EB5F47F46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47625" y="2009775"/>
          <a:ext cx="3779107" cy="1171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21</xdr:row>
      <xdr:rowOff>93820</xdr:rowOff>
    </xdr:from>
    <xdr:to>
      <xdr:col>11</xdr:col>
      <xdr:colOff>476250</xdr:colOff>
      <xdr:row>26</xdr:row>
      <xdr:rowOff>247544</xdr:rowOff>
    </xdr:to>
    <xdr:pic>
      <xdr:nvPicPr>
        <xdr:cNvPr id="2" name="Content Placeholder 7">
          <a:extLst>
            <a:ext uri="{FF2B5EF4-FFF2-40B4-BE49-F238E27FC236}">
              <a16:creationId xmlns:a16="http://schemas.microsoft.com/office/drawing/2014/main" id="{8BC86606-3F55-47A2-922C-44E9D16F5A8D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4124325" y="5551645"/>
          <a:ext cx="4676775" cy="139197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71437</xdr:colOff>
      <xdr:row>9</xdr:row>
      <xdr:rowOff>204787</xdr:rowOff>
    </xdr:from>
    <xdr:to>
      <xdr:col>11</xdr:col>
      <xdr:colOff>404812</xdr:colOff>
      <xdr:row>20</xdr:row>
      <xdr:rowOff>223837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62C9E4-D39D-40E6-9FE7-0ABF53FBD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186357</xdr:colOff>
      <xdr:row>23</xdr:row>
      <xdr:rowOff>94422</xdr:rowOff>
    </xdr:from>
    <xdr:to>
      <xdr:col>3</xdr:col>
      <xdr:colOff>1205118</xdr:colOff>
      <xdr:row>34</xdr:row>
      <xdr:rowOff>104361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7BB31-1D9B-4215-99CE-813299639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53836</xdr:colOff>
      <xdr:row>23</xdr:row>
      <xdr:rowOff>90280</xdr:rowOff>
    </xdr:from>
    <xdr:to>
      <xdr:col>7</xdr:col>
      <xdr:colOff>873814</xdr:colOff>
      <xdr:row>34</xdr:row>
      <xdr:rowOff>100219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BFD370-DFB4-4725-B9D5-05D0FC1DC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2DF1-4FAE-4791-9B60-90F49914F0C0}">
  <dimension ref="A1"/>
  <sheetViews>
    <sheetView workbookViewId="0">
      <selection activeCell="E10" sqref="E1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FF0BF-6505-4DAF-8D0A-5C7D79BF4505}">
  <dimension ref="A1:I24"/>
  <sheetViews>
    <sheetView topLeftCell="A17" zoomScale="135" workbookViewId="0">
      <selection activeCell="C22" sqref="C22"/>
    </sheetView>
  </sheetViews>
  <sheetFormatPr baseColWidth="10" defaultColWidth="10.83203125" defaultRowHeight="20.25" customHeight="1" x14ac:dyDescent="0.2"/>
  <cols>
    <col min="1" max="1" width="15.83203125" style="1" customWidth="1"/>
    <col min="2" max="3" width="15.83203125" style="2" customWidth="1"/>
    <col min="4" max="9" width="7.83203125" customWidth="1"/>
  </cols>
  <sheetData>
    <row r="1" spans="1:9" s="5" customFormat="1" ht="20.25" customHeight="1" x14ac:dyDescent="0.2">
      <c r="A1" s="11" t="s">
        <v>0</v>
      </c>
      <c r="B1" s="12" t="s">
        <v>1</v>
      </c>
      <c r="C1" s="12" t="s">
        <v>2</v>
      </c>
      <c r="D1" s="7" t="s">
        <v>6</v>
      </c>
      <c r="E1" s="7" t="s">
        <v>4</v>
      </c>
      <c r="F1" s="7" t="s">
        <v>5</v>
      </c>
      <c r="G1" s="7" t="s">
        <v>6</v>
      </c>
      <c r="H1" s="7" t="s">
        <v>4</v>
      </c>
      <c r="I1" s="7" t="s">
        <v>5</v>
      </c>
    </row>
    <row r="2" spans="1:9" ht="20.25" customHeight="1" x14ac:dyDescent="0.2">
      <c r="A2" s="3">
        <v>1</v>
      </c>
      <c r="B2" s="4">
        <v>102</v>
      </c>
      <c r="C2" s="6"/>
      <c r="D2" s="8">
        <f>$B$22</f>
        <v>99.095000000000013</v>
      </c>
      <c r="E2" s="8">
        <f>$B$23</f>
        <v>105.9818980963046</v>
      </c>
      <c r="F2" s="8">
        <f>$B$24</f>
        <v>92.208101903695422</v>
      </c>
      <c r="G2" s="8"/>
      <c r="H2" s="8"/>
      <c r="I2" s="8"/>
    </row>
    <row r="3" spans="1:9" ht="20.25" customHeight="1" x14ac:dyDescent="0.2">
      <c r="A3" s="3">
        <v>2</v>
      </c>
      <c r="B3" s="4">
        <v>94.8</v>
      </c>
      <c r="C3" s="4">
        <f>ABS(B3-B2)</f>
        <v>7.2000000000000028</v>
      </c>
      <c r="D3" s="8">
        <f t="shared" ref="D3:D21" si="0">$B$22</f>
        <v>99.095000000000013</v>
      </c>
      <c r="E3" s="8">
        <f t="shared" ref="E3:E21" si="1">$B$23</f>
        <v>105.9818980963046</v>
      </c>
      <c r="F3" s="8">
        <f t="shared" ref="F3:F21" si="2">$B$24</f>
        <v>92.208101903695422</v>
      </c>
      <c r="G3" s="8">
        <f t="shared" ref="G3:G21" si="3">$C$22</f>
        <v>2.5894736842105259</v>
      </c>
      <c r="H3" s="8">
        <f t="shared" ref="H3:H21" si="4">$C$23</f>
        <v>8.4598105263157883</v>
      </c>
      <c r="I3" s="8">
        <f t="shared" ref="I3:I21" si="5">$C$24</f>
        <v>0</v>
      </c>
    </row>
    <row r="4" spans="1:9" ht="20.25" customHeight="1" x14ac:dyDescent="0.2">
      <c r="A4" s="3">
        <v>3</v>
      </c>
      <c r="B4" s="4">
        <v>98.3</v>
      </c>
      <c r="C4" s="4">
        <f t="shared" ref="C4:C21" si="6">ABS(B4-B3)</f>
        <v>3.5</v>
      </c>
      <c r="D4" s="8">
        <f t="shared" si="0"/>
        <v>99.095000000000013</v>
      </c>
      <c r="E4" s="8">
        <f t="shared" si="1"/>
        <v>105.9818980963046</v>
      </c>
      <c r="F4" s="8">
        <f t="shared" si="2"/>
        <v>92.208101903695422</v>
      </c>
      <c r="G4" s="8">
        <f t="shared" si="3"/>
        <v>2.5894736842105259</v>
      </c>
      <c r="H4" s="8">
        <f t="shared" si="4"/>
        <v>8.4598105263157883</v>
      </c>
      <c r="I4" s="8">
        <f t="shared" si="5"/>
        <v>0</v>
      </c>
    </row>
    <row r="5" spans="1:9" ht="20.25" customHeight="1" x14ac:dyDescent="0.2">
      <c r="A5" s="3">
        <v>4</v>
      </c>
      <c r="B5" s="4">
        <v>98.4</v>
      </c>
      <c r="C5" s="4">
        <f t="shared" si="6"/>
        <v>0.10000000000000853</v>
      </c>
      <c r="D5" s="8">
        <f t="shared" si="0"/>
        <v>99.095000000000013</v>
      </c>
      <c r="E5" s="8">
        <f t="shared" si="1"/>
        <v>105.9818980963046</v>
      </c>
      <c r="F5" s="8">
        <f t="shared" si="2"/>
        <v>92.208101903695422</v>
      </c>
      <c r="G5" s="8">
        <f t="shared" si="3"/>
        <v>2.5894736842105259</v>
      </c>
      <c r="H5" s="8">
        <f t="shared" si="4"/>
        <v>8.4598105263157883</v>
      </c>
      <c r="I5" s="8">
        <f t="shared" si="5"/>
        <v>0</v>
      </c>
    </row>
    <row r="6" spans="1:9" ht="20.25" customHeight="1" x14ac:dyDescent="0.2">
      <c r="A6" s="3">
        <v>5</v>
      </c>
      <c r="B6" s="4">
        <v>102</v>
      </c>
      <c r="C6" s="4">
        <f t="shared" si="6"/>
        <v>3.5999999999999943</v>
      </c>
      <c r="D6" s="8">
        <f t="shared" si="0"/>
        <v>99.095000000000013</v>
      </c>
      <c r="E6" s="8">
        <f t="shared" si="1"/>
        <v>105.9818980963046</v>
      </c>
      <c r="F6" s="8">
        <f t="shared" si="2"/>
        <v>92.208101903695422</v>
      </c>
      <c r="G6" s="8">
        <f t="shared" si="3"/>
        <v>2.5894736842105259</v>
      </c>
      <c r="H6" s="8">
        <f t="shared" si="4"/>
        <v>8.4598105263157883</v>
      </c>
      <c r="I6" s="8">
        <f t="shared" si="5"/>
        <v>0</v>
      </c>
    </row>
    <row r="7" spans="1:9" ht="20.25" customHeight="1" x14ac:dyDescent="0.2">
      <c r="A7" s="3">
        <v>6</v>
      </c>
      <c r="B7" s="4">
        <v>98.5</v>
      </c>
      <c r="C7" s="4">
        <f t="shared" si="6"/>
        <v>3.5</v>
      </c>
      <c r="D7" s="8">
        <f t="shared" si="0"/>
        <v>99.095000000000013</v>
      </c>
      <c r="E7" s="8">
        <f t="shared" si="1"/>
        <v>105.9818980963046</v>
      </c>
      <c r="F7" s="8">
        <f t="shared" si="2"/>
        <v>92.208101903695422</v>
      </c>
      <c r="G7" s="8">
        <f t="shared" si="3"/>
        <v>2.5894736842105259</v>
      </c>
      <c r="H7" s="8">
        <f t="shared" si="4"/>
        <v>8.4598105263157883</v>
      </c>
      <c r="I7" s="8">
        <f t="shared" si="5"/>
        <v>0</v>
      </c>
    </row>
    <row r="8" spans="1:9" ht="20.25" customHeight="1" x14ac:dyDescent="0.2">
      <c r="A8" s="3">
        <v>7</v>
      </c>
      <c r="B8" s="4">
        <v>99</v>
      </c>
      <c r="C8" s="4">
        <f t="shared" si="6"/>
        <v>0.5</v>
      </c>
      <c r="D8" s="8">
        <f t="shared" si="0"/>
        <v>99.095000000000013</v>
      </c>
      <c r="E8" s="8">
        <f t="shared" si="1"/>
        <v>105.9818980963046</v>
      </c>
      <c r="F8" s="8">
        <f t="shared" si="2"/>
        <v>92.208101903695422</v>
      </c>
      <c r="G8" s="8">
        <f t="shared" si="3"/>
        <v>2.5894736842105259</v>
      </c>
      <c r="H8" s="8">
        <f t="shared" si="4"/>
        <v>8.4598105263157883</v>
      </c>
      <c r="I8" s="8">
        <f t="shared" si="5"/>
        <v>0</v>
      </c>
    </row>
    <row r="9" spans="1:9" ht="20.25" customHeight="1" x14ac:dyDescent="0.2">
      <c r="A9" s="3">
        <v>8</v>
      </c>
      <c r="B9" s="4">
        <v>97.7</v>
      </c>
      <c r="C9" s="4">
        <f t="shared" si="6"/>
        <v>1.2999999999999972</v>
      </c>
      <c r="D9" s="8">
        <f t="shared" si="0"/>
        <v>99.095000000000013</v>
      </c>
      <c r="E9" s="8">
        <f t="shared" si="1"/>
        <v>105.9818980963046</v>
      </c>
      <c r="F9" s="8">
        <f t="shared" si="2"/>
        <v>92.208101903695422</v>
      </c>
      <c r="G9" s="8">
        <f t="shared" si="3"/>
        <v>2.5894736842105259</v>
      </c>
      <c r="H9" s="8">
        <f t="shared" si="4"/>
        <v>8.4598105263157883</v>
      </c>
      <c r="I9" s="8">
        <f t="shared" si="5"/>
        <v>0</v>
      </c>
    </row>
    <row r="10" spans="1:9" ht="20.25" customHeight="1" x14ac:dyDescent="0.2">
      <c r="A10" s="3">
        <v>9</v>
      </c>
      <c r="B10" s="4">
        <v>100</v>
      </c>
      <c r="C10" s="4">
        <f t="shared" si="6"/>
        <v>2.2999999999999972</v>
      </c>
      <c r="D10" s="8">
        <f t="shared" si="0"/>
        <v>99.095000000000013</v>
      </c>
      <c r="E10" s="8">
        <f t="shared" si="1"/>
        <v>105.9818980963046</v>
      </c>
      <c r="F10" s="8">
        <f t="shared" si="2"/>
        <v>92.208101903695422</v>
      </c>
      <c r="G10" s="8">
        <f t="shared" si="3"/>
        <v>2.5894736842105259</v>
      </c>
      <c r="H10" s="8">
        <f t="shared" si="4"/>
        <v>8.4598105263157883</v>
      </c>
      <c r="I10" s="8">
        <f t="shared" si="5"/>
        <v>0</v>
      </c>
    </row>
    <row r="11" spans="1:9" ht="20.25" customHeight="1" x14ac:dyDescent="0.2">
      <c r="A11" s="3">
        <v>10</v>
      </c>
      <c r="B11" s="4">
        <v>98.1</v>
      </c>
      <c r="C11" s="4">
        <f t="shared" si="6"/>
        <v>1.9000000000000057</v>
      </c>
      <c r="D11" s="8">
        <f t="shared" si="0"/>
        <v>99.095000000000013</v>
      </c>
      <c r="E11" s="8">
        <f t="shared" si="1"/>
        <v>105.9818980963046</v>
      </c>
      <c r="F11" s="8">
        <f t="shared" si="2"/>
        <v>92.208101903695422</v>
      </c>
      <c r="G11" s="8">
        <f t="shared" si="3"/>
        <v>2.5894736842105259</v>
      </c>
      <c r="H11" s="8">
        <f t="shared" si="4"/>
        <v>8.4598105263157883</v>
      </c>
      <c r="I11" s="8">
        <f t="shared" si="5"/>
        <v>0</v>
      </c>
    </row>
    <row r="12" spans="1:9" ht="20.25" customHeight="1" x14ac:dyDescent="0.2">
      <c r="A12" s="3">
        <v>11</v>
      </c>
      <c r="B12" s="4">
        <v>101.3</v>
      </c>
      <c r="C12" s="4">
        <f t="shared" si="6"/>
        <v>3.2000000000000028</v>
      </c>
      <c r="D12" s="8">
        <f t="shared" si="0"/>
        <v>99.095000000000013</v>
      </c>
      <c r="E12" s="8">
        <f t="shared" si="1"/>
        <v>105.9818980963046</v>
      </c>
      <c r="F12" s="8">
        <f t="shared" si="2"/>
        <v>92.208101903695422</v>
      </c>
      <c r="G12" s="8">
        <f t="shared" si="3"/>
        <v>2.5894736842105259</v>
      </c>
      <c r="H12" s="8">
        <f t="shared" si="4"/>
        <v>8.4598105263157883</v>
      </c>
      <c r="I12" s="8">
        <f t="shared" si="5"/>
        <v>0</v>
      </c>
    </row>
    <row r="13" spans="1:9" ht="20.25" customHeight="1" x14ac:dyDescent="0.2">
      <c r="A13" s="3">
        <v>12</v>
      </c>
      <c r="B13" s="4">
        <v>98.7</v>
      </c>
      <c r="C13" s="4">
        <f t="shared" si="6"/>
        <v>2.5999999999999943</v>
      </c>
      <c r="D13" s="8">
        <f t="shared" si="0"/>
        <v>99.095000000000013</v>
      </c>
      <c r="E13" s="8">
        <f t="shared" si="1"/>
        <v>105.9818980963046</v>
      </c>
      <c r="F13" s="8">
        <f t="shared" si="2"/>
        <v>92.208101903695422</v>
      </c>
      <c r="G13" s="8">
        <f t="shared" si="3"/>
        <v>2.5894736842105259</v>
      </c>
      <c r="H13" s="8">
        <f t="shared" si="4"/>
        <v>8.4598105263157883</v>
      </c>
      <c r="I13" s="8">
        <f t="shared" si="5"/>
        <v>0</v>
      </c>
    </row>
    <row r="14" spans="1:9" ht="20.25" customHeight="1" x14ac:dyDescent="0.2">
      <c r="A14" s="3">
        <v>13</v>
      </c>
      <c r="B14" s="4">
        <v>101.1</v>
      </c>
      <c r="C14" s="4">
        <f t="shared" si="6"/>
        <v>2.3999999999999915</v>
      </c>
      <c r="D14" s="8">
        <f t="shared" si="0"/>
        <v>99.095000000000013</v>
      </c>
      <c r="E14" s="8">
        <f t="shared" si="1"/>
        <v>105.9818980963046</v>
      </c>
      <c r="F14" s="8">
        <f t="shared" si="2"/>
        <v>92.208101903695422</v>
      </c>
      <c r="G14" s="8">
        <f t="shared" si="3"/>
        <v>2.5894736842105259</v>
      </c>
      <c r="H14" s="8">
        <f t="shared" si="4"/>
        <v>8.4598105263157883</v>
      </c>
      <c r="I14" s="8">
        <f t="shared" si="5"/>
        <v>0</v>
      </c>
    </row>
    <row r="15" spans="1:9" ht="20.25" customHeight="1" x14ac:dyDescent="0.2">
      <c r="A15" s="3">
        <v>14</v>
      </c>
      <c r="B15" s="4">
        <v>98.4</v>
      </c>
      <c r="C15" s="4">
        <f t="shared" si="6"/>
        <v>2.6999999999999886</v>
      </c>
      <c r="D15" s="8">
        <f t="shared" si="0"/>
        <v>99.095000000000013</v>
      </c>
      <c r="E15" s="8">
        <f t="shared" si="1"/>
        <v>105.9818980963046</v>
      </c>
      <c r="F15" s="8">
        <f t="shared" si="2"/>
        <v>92.208101903695422</v>
      </c>
      <c r="G15" s="8">
        <f t="shared" si="3"/>
        <v>2.5894736842105259</v>
      </c>
      <c r="H15" s="8">
        <f t="shared" si="4"/>
        <v>8.4598105263157883</v>
      </c>
      <c r="I15" s="8">
        <f t="shared" si="5"/>
        <v>0</v>
      </c>
    </row>
    <row r="16" spans="1:9" ht="20.25" customHeight="1" x14ac:dyDescent="0.2">
      <c r="A16" s="3">
        <v>15</v>
      </c>
      <c r="B16" s="4">
        <v>97</v>
      </c>
      <c r="C16" s="4">
        <f t="shared" si="6"/>
        <v>1.4000000000000057</v>
      </c>
      <c r="D16" s="8">
        <f t="shared" si="0"/>
        <v>99.095000000000013</v>
      </c>
      <c r="E16" s="8">
        <f t="shared" si="1"/>
        <v>105.9818980963046</v>
      </c>
      <c r="F16" s="8">
        <f t="shared" si="2"/>
        <v>92.208101903695422</v>
      </c>
      <c r="G16" s="8">
        <f t="shared" si="3"/>
        <v>2.5894736842105259</v>
      </c>
      <c r="H16" s="8">
        <f t="shared" si="4"/>
        <v>8.4598105263157883</v>
      </c>
      <c r="I16" s="8">
        <f t="shared" si="5"/>
        <v>0</v>
      </c>
    </row>
    <row r="17" spans="1:9" ht="20.25" customHeight="1" x14ac:dyDescent="0.2">
      <c r="A17" s="3">
        <v>16</v>
      </c>
      <c r="B17" s="4">
        <v>96.7</v>
      </c>
      <c r="C17" s="4">
        <f t="shared" si="6"/>
        <v>0.29999999999999716</v>
      </c>
      <c r="D17" s="8">
        <f t="shared" si="0"/>
        <v>99.095000000000013</v>
      </c>
      <c r="E17" s="8">
        <f t="shared" si="1"/>
        <v>105.9818980963046</v>
      </c>
      <c r="F17" s="8">
        <f t="shared" si="2"/>
        <v>92.208101903695422</v>
      </c>
      <c r="G17" s="8">
        <f t="shared" si="3"/>
        <v>2.5894736842105259</v>
      </c>
      <c r="H17" s="8">
        <f t="shared" si="4"/>
        <v>8.4598105263157883</v>
      </c>
      <c r="I17" s="8">
        <f t="shared" si="5"/>
        <v>0</v>
      </c>
    </row>
    <row r="18" spans="1:9" ht="20.25" customHeight="1" x14ac:dyDescent="0.2">
      <c r="A18" s="3">
        <v>17</v>
      </c>
      <c r="B18" s="4">
        <v>100.3</v>
      </c>
      <c r="C18" s="4">
        <f t="shared" si="6"/>
        <v>3.5999999999999943</v>
      </c>
      <c r="D18" s="8">
        <f t="shared" si="0"/>
        <v>99.095000000000013</v>
      </c>
      <c r="E18" s="8">
        <f t="shared" si="1"/>
        <v>105.9818980963046</v>
      </c>
      <c r="F18" s="8">
        <f t="shared" si="2"/>
        <v>92.208101903695422</v>
      </c>
      <c r="G18" s="8">
        <f t="shared" si="3"/>
        <v>2.5894736842105259</v>
      </c>
      <c r="H18" s="8">
        <f t="shared" si="4"/>
        <v>8.4598105263157883</v>
      </c>
      <c r="I18" s="8">
        <f t="shared" si="5"/>
        <v>0</v>
      </c>
    </row>
    <row r="19" spans="1:9" ht="20.25" customHeight="1" x14ac:dyDescent="0.2">
      <c r="A19" s="3">
        <v>18</v>
      </c>
      <c r="B19" s="4">
        <v>101.4</v>
      </c>
      <c r="C19" s="4">
        <f t="shared" si="6"/>
        <v>1.1000000000000085</v>
      </c>
      <c r="D19" s="8">
        <f t="shared" si="0"/>
        <v>99.095000000000013</v>
      </c>
      <c r="E19" s="8">
        <f t="shared" si="1"/>
        <v>105.9818980963046</v>
      </c>
      <c r="F19" s="8">
        <f t="shared" si="2"/>
        <v>92.208101903695422</v>
      </c>
      <c r="G19" s="8">
        <f t="shared" si="3"/>
        <v>2.5894736842105259</v>
      </c>
      <c r="H19" s="8">
        <f t="shared" si="4"/>
        <v>8.4598105263157883</v>
      </c>
      <c r="I19" s="8">
        <f t="shared" si="5"/>
        <v>0</v>
      </c>
    </row>
    <row r="20" spans="1:9" ht="20.25" customHeight="1" x14ac:dyDescent="0.2">
      <c r="A20" s="3">
        <v>19</v>
      </c>
      <c r="B20" s="4">
        <v>97.2</v>
      </c>
      <c r="C20" s="4">
        <f t="shared" si="6"/>
        <v>4.2000000000000028</v>
      </c>
      <c r="D20" s="8">
        <f t="shared" si="0"/>
        <v>99.095000000000013</v>
      </c>
      <c r="E20" s="8">
        <f t="shared" si="1"/>
        <v>105.9818980963046</v>
      </c>
      <c r="F20" s="8">
        <f t="shared" si="2"/>
        <v>92.208101903695422</v>
      </c>
      <c r="G20" s="8">
        <f t="shared" si="3"/>
        <v>2.5894736842105259</v>
      </c>
      <c r="H20" s="8">
        <f t="shared" si="4"/>
        <v>8.4598105263157883</v>
      </c>
      <c r="I20" s="8">
        <f t="shared" si="5"/>
        <v>0</v>
      </c>
    </row>
    <row r="21" spans="1:9" ht="20.25" customHeight="1" x14ac:dyDescent="0.2">
      <c r="A21" s="3">
        <v>20</v>
      </c>
      <c r="B21" s="4">
        <v>101</v>
      </c>
      <c r="C21" s="4">
        <f t="shared" si="6"/>
        <v>3.7999999999999972</v>
      </c>
      <c r="D21" s="8">
        <f t="shared" si="0"/>
        <v>99.095000000000013</v>
      </c>
      <c r="E21" s="8">
        <f t="shared" si="1"/>
        <v>105.9818980963046</v>
      </c>
      <c r="F21" s="8">
        <f t="shared" si="2"/>
        <v>92.208101903695422</v>
      </c>
      <c r="G21" s="8">
        <f t="shared" si="3"/>
        <v>2.5894736842105259</v>
      </c>
      <c r="H21" s="8">
        <f t="shared" si="4"/>
        <v>8.4598105263157883</v>
      </c>
      <c r="I21" s="8">
        <f t="shared" si="5"/>
        <v>0</v>
      </c>
    </row>
    <row r="22" spans="1:9" ht="20.25" customHeight="1" x14ac:dyDescent="0.2">
      <c r="A22" s="11" t="s">
        <v>3</v>
      </c>
      <c r="B22" s="14">
        <f>AVERAGE(B2:B21)</f>
        <v>99.095000000000013</v>
      </c>
      <c r="C22" s="14">
        <f>AVERAGE(C3:C21)</f>
        <v>2.5894736842105259</v>
      </c>
    </row>
    <row r="23" spans="1:9" ht="20.25" customHeight="1" x14ac:dyDescent="0.2">
      <c r="A23" s="11" t="s">
        <v>4</v>
      </c>
      <c r="B23" s="14">
        <f>B22+3*C22/1.128</f>
        <v>105.9818980963046</v>
      </c>
      <c r="C23" s="14">
        <f>3.267*C22</f>
        <v>8.4598105263157883</v>
      </c>
    </row>
    <row r="24" spans="1:9" ht="20.25" customHeight="1" x14ac:dyDescent="0.2">
      <c r="A24" s="11" t="s">
        <v>5</v>
      </c>
      <c r="B24" s="14">
        <f>B22-3*C22/1.128</f>
        <v>92.208101903695422</v>
      </c>
      <c r="C24" s="14">
        <f>0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AE9-31C6-473F-AF03-C3FFCA4C167C}">
  <dimension ref="A1:B16"/>
  <sheetViews>
    <sheetView tabSelected="1" zoomScale="131" workbookViewId="0">
      <selection activeCell="B12" sqref="B12"/>
    </sheetView>
  </sheetViews>
  <sheetFormatPr baseColWidth="10" defaultColWidth="15.83203125" defaultRowHeight="20.25" customHeight="1" x14ac:dyDescent="0.2"/>
  <cols>
    <col min="1" max="1" width="20.83203125" customWidth="1"/>
  </cols>
  <sheetData>
    <row r="1" spans="1:2" ht="20.25" customHeight="1" x14ac:dyDescent="0.2">
      <c r="A1" s="9" t="s">
        <v>7</v>
      </c>
      <c r="B1" s="13">
        <v>110</v>
      </c>
    </row>
    <row r="2" spans="1:2" ht="20.25" customHeight="1" x14ac:dyDescent="0.2">
      <c r="A2" s="9" t="s">
        <v>8</v>
      </c>
      <c r="B2" s="13">
        <v>90</v>
      </c>
    </row>
    <row r="3" spans="1:2" ht="20.25" customHeight="1" x14ac:dyDescent="0.2">
      <c r="A3" s="10" t="s">
        <v>9</v>
      </c>
      <c r="B3" s="13">
        <v>107</v>
      </c>
    </row>
    <row r="4" spans="1:2" ht="20.25" customHeight="1" x14ac:dyDescent="0.2">
      <c r="A4" s="10" t="s">
        <v>10</v>
      </c>
      <c r="B4" s="13">
        <v>1.5</v>
      </c>
    </row>
    <row r="6" spans="1:2" ht="20.25" customHeight="1" x14ac:dyDescent="0.2">
      <c r="A6" s="10" t="s">
        <v>11</v>
      </c>
      <c r="B6" s="15">
        <f>(B1-B2)/(6*B4)</f>
        <v>2.2222222222222223</v>
      </c>
    </row>
    <row r="8" spans="1:2" ht="20.25" customHeight="1" x14ac:dyDescent="0.2">
      <c r="A8" s="10" t="s">
        <v>12</v>
      </c>
      <c r="B8" s="15">
        <f>MIN(B1-B3/(3*B4), (B3-B2)/(3*B4))</f>
        <v>3.7777777777777777</v>
      </c>
    </row>
    <row r="9" spans="1:2" ht="20.25" customHeight="1" x14ac:dyDescent="0.2">
      <c r="B9">
        <v>0.66669999999999996</v>
      </c>
    </row>
    <row r="10" spans="1:2" ht="20.25" customHeight="1" x14ac:dyDescent="0.2">
      <c r="A10" s="10" t="s">
        <v>13</v>
      </c>
    </row>
    <row r="11" spans="1:2" ht="20.25" customHeight="1" x14ac:dyDescent="0.2">
      <c r="A11" s="10" t="str">
        <f xml:space="preserve"> "  = P(Z &lt; (" &amp; B2 &amp; " - " &amp; B3 &amp; ")/" &amp; B4 &amp; ") "</f>
        <v xml:space="preserve">  = P(Z &lt; (90 - 107)/1.5) </v>
      </c>
    </row>
    <row r="12" spans="1:2" ht="20.25" customHeight="1" x14ac:dyDescent="0.2">
      <c r="A12" s="16" t="s">
        <v>14</v>
      </c>
      <c r="B12" s="15">
        <f>_xlfn.NORM.S.DIST(-11.33, TRUE)</f>
        <v>4.6602370591334567E-30</v>
      </c>
    </row>
    <row r="14" spans="1:2" ht="20.25" customHeight="1" x14ac:dyDescent="0.2">
      <c r="A14" s="10" t="s">
        <v>16</v>
      </c>
    </row>
    <row r="15" spans="1:2" ht="20.25" customHeight="1" x14ac:dyDescent="0.2">
      <c r="A15" s="10" t="str">
        <f xml:space="preserve"> "  = P(Z &gt; (" &amp; B1 &amp; " - " &amp; B3 &amp; ")/" &amp; B4 &amp; ") "</f>
        <v xml:space="preserve">  = P(Z &gt; (110 - 107)/1.5) </v>
      </c>
    </row>
    <row r="16" spans="1:2" ht="20.25" customHeight="1" x14ac:dyDescent="0.2">
      <c r="A16" s="16" t="s">
        <v>15</v>
      </c>
      <c r="B16" s="15">
        <f>1-_xlfn.NORM.S.DIST(2,TRUE)</f>
        <v>2.2750131948179209E-2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D84B-0A08-4BC9-A9B6-BE49F6A4D5D0}">
  <dimension ref="A1:B7"/>
  <sheetViews>
    <sheetView zoomScale="150" workbookViewId="0">
      <selection activeCell="B3" sqref="B3"/>
    </sheetView>
  </sheetViews>
  <sheetFormatPr baseColWidth="10" defaultColWidth="15.83203125" defaultRowHeight="20.25" customHeight="1" x14ac:dyDescent="0.2"/>
  <sheetData>
    <row r="1" spans="1:2" ht="20.25" customHeight="1" x14ac:dyDescent="0.2">
      <c r="A1" s="9" t="s">
        <v>21</v>
      </c>
      <c r="B1" s="20">
        <v>20</v>
      </c>
    </row>
    <row r="2" spans="1:2" ht="20.25" customHeight="1" x14ac:dyDescent="0.2">
      <c r="A2" s="9" t="s">
        <v>22</v>
      </c>
      <c r="B2" s="20">
        <v>100</v>
      </c>
    </row>
    <row r="3" spans="1:2" ht="20.25" customHeight="1" x14ac:dyDescent="0.2">
      <c r="A3" s="9" t="s">
        <v>20</v>
      </c>
      <c r="B3" s="20">
        <v>0.4</v>
      </c>
    </row>
    <row r="5" spans="1:2" ht="20.25" customHeight="1" x14ac:dyDescent="0.2">
      <c r="A5" s="21" t="s">
        <v>4</v>
      </c>
      <c r="B5" s="13">
        <f>B3+3*SQRT(B3*(1-B3)/B2)</f>
        <v>0.54696938456699074</v>
      </c>
    </row>
    <row r="6" spans="1:2" ht="20.25" customHeight="1" x14ac:dyDescent="0.2">
      <c r="A6" s="21" t="s">
        <v>6</v>
      </c>
      <c r="B6" s="13">
        <f>B3</f>
        <v>0.4</v>
      </c>
    </row>
    <row r="7" spans="1:2" ht="20.25" customHeight="1" x14ac:dyDescent="0.2">
      <c r="A7" s="21" t="s">
        <v>5</v>
      </c>
      <c r="B7" s="13">
        <f>B3-3*SQRT(B3*(1-B3)/B2)</f>
        <v>0.25303061543300936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F67-4662-47AA-B167-74DA3E73271F}">
  <dimension ref="A1:F29"/>
  <sheetViews>
    <sheetView topLeftCell="A17" zoomScale="104" workbookViewId="0">
      <selection activeCell="C30" sqref="C30"/>
    </sheetView>
  </sheetViews>
  <sheetFormatPr baseColWidth="10" defaultColWidth="12.83203125" defaultRowHeight="20.25" customHeight="1" x14ac:dyDescent="0.2"/>
  <cols>
    <col min="4" max="6" width="7.83203125" style="2" customWidth="1"/>
  </cols>
  <sheetData>
    <row r="1" spans="1:6" ht="20.25" customHeight="1" x14ac:dyDescent="0.2">
      <c r="A1" t="s">
        <v>17</v>
      </c>
    </row>
    <row r="2" spans="1:6" s="19" customFormat="1" ht="40" customHeight="1" x14ac:dyDescent="0.2">
      <c r="A2" s="17" t="s">
        <v>0</v>
      </c>
      <c r="B2" s="17" t="s">
        <v>18</v>
      </c>
      <c r="C2" s="18" t="s">
        <v>19</v>
      </c>
      <c r="D2" s="23" t="s">
        <v>6</v>
      </c>
      <c r="E2" s="23" t="s">
        <v>4</v>
      </c>
      <c r="F2" s="23" t="s">
        <v>5</v>
      </c>
    </row>
    <row r="3" spans="1:6" ht="20.25" customHeight="1" x14ac:dyDescent="0.2">
      <c r="A3" s="3">
        <v>1</v>
      </c>
      <c r="B3" s="3">
        <v>6</v>
      </c>
      <c r="C3" s="4">
        <f>B3/5</f>
        <v>1.2</v>
      </c>
      <c r="D3" s="24">
        <f>$C$23</f>
        <v>1.6</v>
      </c>
      <c r="E3" s="24">
        <f>$B$26</f>
        <v>3.2970562748477139</v>
      </c>
      <c r="F3" s="24">
        <f>$C$27</f>
        <v>0</v>
      </c>
    </row>
    <row r="4" spans="1:6" ht="20.25" customHeight="1" x14ac:dyDescent="0.2">
      <c r="A4" s="3">
        <v>2</v>
      </c>
      <c r="B4" s="3">
        <v>4</v>
      </c>
      <c r="C4" s="4">
        <f t="shared" ref="C4:C22" si="0">B4/5</f>
        <v>0.8</v>
      </c>
      <c r="D4" s="24">
        <f t="shared" ref="D4:D22" si="1">$C$23</f>
        <v>1.6</v>
      </c>
      <c r="E4" s="24">
        <f t="shared" ref="E4:E22" si="2">$B$26</f>
        <v>3.2970562748477139</v>
      </c>
      <c r="F4" s="24">
        <f t="shared" ref="F4:F22" si="3">$C$27</f>
        <v>0</v>
      </c>
    </row>
    <row r="5" spans="1:6" ht="20.25" customHeight="1" x14ac:dyDescent="0.2">
      <c r="A5" s="3">
        <v>3</v>
      </c>
      <c r="B5" s="3">
        <v>8</v>
      </c>
      <c r="C5" s="4">
        <f t="shared" si="0"/>
        <v>1.6</v>
      </c>
      <c r="D5" s="24">
        <f t="shared" si="1"/>
        <v>1.6</v>
      </c>
      <c r="E5" s="24">
        <f t="shared" si="2"/>
        <v>3.2970562748477139</v>
      </c>
      <c r="F5" s="24">
        <f t="shared" si="3"/>
        <v>0</v>
      </c>
    </row>
    <row r="6" spans="1:6" ht="20.25" customHeight="1" x14ac:dyDescent="0.2">
      <c r="A6" s="3">
        <v>4</v>
      </c>
      <c r="B6" s="3">
        <v>10</v>
      </c>
      <c r="C6" s="4">
        <f t="shared" si="0"/>
        <v>2</v>
      </c>
      <c r="D6" s="24">
        <f t="shared" si="1"/>
        <v>1.6</v>
      </c>
      <c r="E6" s="24">
        <f t="shared" si="2"/>
        <v>3.2970562748477139</v>
      </c>
      <c r="F6" s="24">
        <f t="shared" si="3"/>
        <v>0</v>
      </c>
    </row>
    <row r="7" spans="1:6" ht="20.25" customHeight="1" x14ac:dyDescent="0.2">
      <c r="A7" s="3">
        <v>5</v>
      </c>
      <c r="B7" s="3">
        <v>9</v>
      </c>
      <c r="C7" s="4">
        <f t="shared" si="0"/>
        <v>1.8</v>
      </c>
      <c r="D7" s="24">
        <f t="shared" si="1"/>
        <v>1.6</v>
      </c>
      <c r="E7" s="24">
        <f t="shared" si="2"/>
        <v>3.2970562748477139</v>
      </c>
      <c r="F7" s="24">
        <f t="shared" si="3"/>
        <v>0</v>
      </c>
    </row>
    <row r="8" spans="1:6" ht="20.25" customHeight="1" x14ac:dyDescent="0.2">
      <c r="A8" s="3">
        <v>6</v>
      </c>
      <c r="B8" s="3">
        <v>12</v>
      </c>
      <c r="C8" s="4">
        <f t="shared" si="0"/>
        <v>2.4</v>
      </c>
      <c r="D8" s="24">
        <f t="shared" si="1"/>
        <v>1.6</v>
      </c>
      <c r="E8" s="24">
        <f t="shared" si="2"/>
        <v>3.2970562748477139</v>
      </c>
      <c r="F8" s="24">
        <f t="shared" si="3"/>
        <v>0</v>
      </c>
    </row>
    <row r="9" spans="1:6" ht="20.25" customHeight="1" x14ac:dyDescent="0.2">
      <c r="A9" s="3">
        <v>7</v>
      </c>
      <c r="B9" s="3">
        <v>16</v>
      </c>
      <c r="C9" s="4">
        <f t="shared" si="0"/>
        <v>3.2</v>
      </c>
      <c r="D9" s="24">
        <f t="shared" si="1"/>
        <v>1.6</v>
      </c>
      <c r="E9" s="24">
        <f t="shared" si="2"/>
        <v>3.2970562748477139</v>
      </c>
      <c r="F9" s="24">
        <f t="shared" si="3"/>
        <v>0</v>
      </c>
    </row>
    <row r="10" spans="1:6" ht="20.25" customHeight="1" x14ac:dyDescent="0.2">
      <c r="A10" s="3">
        <v>8</v>
      </c>
      <c r="B10" s="3">
        <v>2</v>
      </c>
      <c r="C10" s="4">
        <f t="shared" si="0"/>
        <v>0.4</v>
      </c>
      <c r="D10" s="24">
        <f t="shared" si="1"/>
        <v>1.6</v>
      </c>
      <c r="E10" s="24">
        <f t="shared" si="2"/>
        <v>3.2970562748477139</v>
      </c>
      <c r="F10" s="24">
        <f t="shared" si="3"/>
        <v>0</v>
      </c>
    </row>
    <row r="11" spans="1:6" ht="20.25" customHeight="1" x14ac:dyDescent="0.2">
      <c r="A11" s="3">
        <v>9</v>
      </c>
      <c r="B11" s="3">
        <v>3</v>
      </c>
      <c r="C11" s="4">
        <f t="shared" si="0"/>
        <v>0.6</v>
      </c>
      <c r="D11" s="24">
        <f t="shared" si="1"/>
        <v>1.6</v>
      </c>
      <c r="E11" s="24">
        <f t="shared" si="2"/>
        <v>3.2970562748477139</v>
      </c>
      <c r="F11" s="24">
        <f t="shared" si="3"/>
        <v>0</v>
      </c>
    </row>
    <row r="12" spans="1:6" ht="20.25" customHeight="1" x14ac:dyDescent="0.2">
      <c r="A12" s="3">
        <v>10</v>
      </c>
      <c r="B12" s="3">
        <v>10</v>
      </c>
      <c r="C12" s="4">
        <f t="shared" si="0"/>
        <v>2</v>
      </c>
      <c r="D12" s="24">
        <f t="shared" si="1"/>
        <v>1.6</v>
      </c>
      <c r="E12" s="24">
        <f t="shared" si="2"/>
        <v>3.2970562748477139</v>
      </c>
      <c r="F12" s="24">
        <f t="shared" si="3"/>
        <v>0</v>
      </c>
    </row>
    <row r="13" spans="1:6" ht="20.25" customHeight="1" x14ac:dyDescent="0.2">
      <c r="A13" s="3">
        <v>11</v>
      </c>
      <c r="B13" s="3">
        <v>9</v>
      </c>
      <c r="C13" s="4">
        <f t="shared" si="0"/>
        <v>1.8</v>
      </c>
      <c r="D13" s="24">
        <f t="shared" si="1"/>
        <v>1.6</v>
      </c>
      <c r="E13" s="24">
        <f t="shared" si="2"/>
        <v>3.2970562748477139</v>
      </c>
      <c r="F13" s="24">
        <f t="shared" si="3"/>
        <v>0</v>
      </c>
    </row>
    <row r="14" spans="1:6" ht="20.25" customHeight="1" x14ac:dyDescent="0.2">
      <c r="A14" s="3">
        <v>12</v>
      </c>
      <c r="B14" s="3">
        <v>15</v>
      </c>
      <c r="C14" s="4">
        <f t="shared" si="0"/>
        <v>3</v>
      </c>
      <c r="D14" s="24">
        <f t="shared" si="1"/>
        <v>1.6</v>
      </c>
      <c r="E14" s="24">
        <f t="shared" si="2"/>
        <v>3.2970562748477139</v>
      </c>
      <c r="F14" s="24">
        <f t="shared" si="3"/>
        <v>0</v>
      </c>
    </row>
    <row r="15" spans="1:6" ht="20.25" customHeight="1" x14ac:dyDescent="0.2">
      <c r="A15" s="3">
        <v>13</v>
      </c>
      <c r="B15" s="3">
        <v>8</v>
      </c>
      <c r="C15" s="4">
        <f t="shared" si="0"/>
        <v>1.6</v>
      </c>
      <c r="D15" s="24">
        <f t="shared" si="1"/>
        <v>1.6</v>
      </c>
      <c r="E15" s="24">
        <f t="shared" si="2"/>
        <v>3.2970562748477139</v>
      </c>
      <c r="F15" s="24">
        <f t="shared" si="3"/>
        <v>0</v>
      </c>
    </row>
    <row r="16" spans="1:6" ht="20.25" customHeight="1" x14ac:dyDescent="0.2">
      <c r="A16" s="3">
        <v>14</v>
      </c>
      <c r="B16" s="3">
        <v>10</v>
      </c>
      <c r="C16" s="4">
        <f t="shared" si="0"/>
        <v>2</v>
      </c>
      <c r="D16" s="24">
        <f t="shared" si="1"/>
        <v>1.6</v>
      </c>
      <c r="E16" s="24">
        <f t="shared" si="2"/>
        <v>3.2970562748477139</v>
      </c>
      <c r="F16" s="24">
        <f t="shared" si="3"/>
        <v>0</v>
      </c>
    </row>
    <row r="17" spans="1:6" ht="20.25" customHeight="1" x14ac:dyDescent="0.2">
      <c r="A17" s="3">
        <v>15</v>
      </c>
      <c r="B17" s="3">
        <v>8</v>
      </c>
      <c r="C17" s="4">
        <f t="shared" si="0"/>
        <v>1.6</v>
      </c>
      <c r="D17" s="24">
        <f t="shared" si="1"/>
        <v>1.6</v>
      </c>
      <c r="E17" s="24">
        <f t="shared" si="2"/>
        <v>3.2970562748477139</v>
      </c>
      <c r="F17" s="24">
        <f t="shared" si="3"/>
        <v>0</v>
      </c>
    </row>
    <row r="18" spans="1:6" ht="20.25" customHeight="1" x14ac:dyDescent="0.2">
      <c r="A18" s="3">
        <v>16</v>
      </c>
      <c r="B18" s="3">
        <v>2</v>
      </c>
      <c r="C18" s="4">
        <f t="shared" si="0"/>
        <v>0.4</v>
      </c>
      <c r="D18" s="24">
        <f t="shared" si="1"/>
        <v>1.6</v>
      </c>
      <c r="E18" s="24">
        <f t="shared" si="2"/>
        <v>3.2970562748477139</v>
      </c>
      <c r="F18" s="24">
        <f t="shared" si="3"/>
        <v>0</v>
      </c>
    </row>
    <row r="19" spans="1:6" ht="20.25" customHeight="1" x14ac:dyDescent="0.2">
      <c r="A19" s="3">
        <v>17</v>
      </c>
      <c r="B19" s="3">
        <v>7</v>
      </c>
      <c r="C19" s="4">
        <f t="shared" si="0"/>
        <v>1.4</v>
      </c>
      <c r="D19" s="24">
        <f t="shared" si="1"/>
        <v>1.6</v>
      </c>
      <c r="E19" s="24">
        <f t="shared" si="2"/>
        <v>3.2970562748477139</v>
      </c>
      <c r="F19" s="24">
        <f t="shared" si="3"/>
        <v>0</v>
      </c>
    </row>
    <row r="20" spans="1:6" ht="20.25" customHeight="1" x14ac:dyDescent="0.2">
      <c r="A20" s="3">
        <v>18</v>
      </c>
      <c r="B20" s="3">
        <v>1</v>
      </c>
      <c r="C20" s="4">
        <f t="shared" si="0"/>
        <v>0.2</v>
      </c>
      <c r="D20" s="24">
        <f t="shared" si="1"/>
        <v>1.6</v>
      </c>
      <c r="E20" s="24">
        <f t="shared" si="2"/>
        <v>3.2970562748477139</v>
      </c>
      <c r="F20" s="24">
        <f t="shared" si="3"/>
        <v>0</v>
      </c>
    </row>
    <row r="21" spans="1:6" ht="20.25" customHeight="1" x14ac:dyDescent="0.2">
      <c r="A21" s="3">
        <v>19</v>
      </c>
      <c r="B21" s="3">
        <v>7</v>
      </c>
      <c r="C21" s="4">
        <f t="shared" si="0"/>
        <v>1.4</v>
      </c>
      <c r="D21" s="24">
        <f t="shared" si="1"/>
        <v>1.6</v>
      </c>
      <c r="E21" s="24">
        <f t="shared" si="2"/>
        <v>3.2970562748477139</v>
      </c>
      <c r="F21" s="24">
        <f t="shared" si="3"/>
        <v>0</v>
      </c>
    </row>
    <row r="22" spans="1:6" ht="20.25" customHeight="1" x14ac:dyDescent="0.2">
      <c r="A22" s="3">
        <v>20</v>
      </c>
      <c r="B22" s="3">
        <v>13</v>
      </c>
      <c r="C22" s="4">
        <f t="shared" si="0"/>
        <v>2.6</v>
      </c>
      <c r="D22" s="24">
        <f t="shared" si="1"/>
        <v>1.6</v>
      </c>
      <c r="E22" s="24">
        <f t="shared" si="2"/>
        <v>3.2970562748477139</v>
      </c>
      <c r="F22" s="24">
        <f t="shared" si="3"/>
        <v>0</v>
      </c>
    </row>
    <row r="23" spans="1:6" ht="20.25" customHeight="1" x14ac:dyDescent="0.2">
      <c r="A23" s="28" t="s">
        <v>3</v>
      </c>
      <c r="B23" s="29"/>
      <c r="C23" s="14">
        <f>AVERAGE(C3:C22)</f>
        <v>1.6</v>
      </c>
    </row>
    <row r="25" spans="1:6" ht="20.25" customHeight="1" x14ac:dyDescent="0.2">
      <c r="A25" s="9" t="s">
        <v>22</v>
      </c>
      <c r="B25" s="13">
        <f>5</f>
        <v>5</v>
      </c>
    </row>
    <row r="26" spans="1:6" ht="20.25" customHeight="1" x14ac:dyDescent="0.2">
      <c r="A26" s="9" t="s">
        <v>4</v>
      </c>
      <c r="B26" s="22">
        <f>C23+3*SQRT(C23/B25)</f>
        <v>3.2970562748477139</v>
      </c>
    </row>
    <row r="27" spans="1:6" ht="20.25" customHeight="1" x14ac:dyDescent="0.2">
      <c r="A27" s="9" t="s">
        <v>5</v>
      </c>
      <c r="B27" s="22">
        <f>C23-3*SQRT(C23/B25)</f>
        <v>-9.7056274847713953E-2</v>
      </c>
      <c r="C27" s="13">
        <v>0</v>
      </c>
    </row>
    <row r="29" spans="1:6" ht="20.25" customHeight="1" x14ac:dyDescent="0.2">
      <c r="C29" t="s">
        <v>28</v>
      </c>
    </row>
  </sheetData>
  <mergeCells count="1">
    <mergeCell ref="A23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9E09-484C-41DF-BDF7-CF9B34D05CF8}">
  <dimension ref="A1:F23"/>
  <sheetViews>
    <sheetView zoomScaleNormal="100" workbookViewId="0">
      <selection activeCell="G2" sqref="G2"/>
    </sheetView>
  </sheetViews>
  <sheetFormatPr baseColWidth="10" defaultColWidth="18.83203125" defaultRowHeight="20.25" customHeight="1" x14ac:dyDescent="0.2"/>
  <cols>
    <col min="1" max="1" width="15.83203125" customWidth="1"/>
  </cols>
  <sheetData>
    <row r="1" spans="1:6" ht="20.25" customHeight="1" x14ac:dyDescent="0.2">
      <c r="A1" t="s">
        <v>24</v>
      </c>
    </row>
    <row r="2" spans="1:6" ht="20.25" customHeight="1" x14ac:dyDescent="0.25">
      <c r="A2" s="11" t="s">
        <v>0</v>
      </c>
      <c r="B2" s="12" t="s">
        <v>23</v>
      </c>
      <c r="C2" s="12" t="s">
        <v>25</v>
      </c>
      <c r="D2" s="12" t="s">
        <v>26</v>
      </c>
      <c r="E2" s="12" t="s">
        <v>27</v>
      </c>
      <c r="F2" s="25" t="s">
        <v>29</v>
      </c>
    </row>
    <row r="3" spans="1:6" ht="20.25" customHeight="1" x14ac:dyDescent="0.2">
      <c r="A3" s="3">
        <v>1</v>
      </c>
      <c r="B3" s="4">
        <v>102</v>
      </c>
      <c r="C3" s="4">
        <f>B3-99</f>
        <v>3</v>
      </c>
      <c r="D3" s="14">
        <f>C3</f>
        <v>3</v>
      </c>
      <c r="E3" s="6"/>
      <c r="F3" s="6"/>
    </row>
    <row r="4" spans="1:6" ht="20.25" customHeight="1" x14ac:dyDescent="0.2">
      <c r="A4" s="3">
        <v>2</v>
      </c>
      <c r="B4" s="4">
        <v>94.8</v>
      </c>
      <c r="C4" s="4">
        <f t="shared" ref="C4:C22" si="0">B4-99</f>
        <v>-4.2000000000000028</v>
      </c>
      <c r="D4" s="14">
        <f>C4+D3</f>
        <v>-1.2000000000000028</v>
      </c>
      <c r="E4" s="6"/>
      <c r="F4" s="6"/>
    </row>
    <row r="5" spans="1:6" ht="20.25" customHeight="1" x14ac:dyDescent="0.2">
      <c r="A5" s="3">
        <v>3</v>
      </c>
      <c r="B5" s="4">
        <v>98.3</v>
      </c>
      <c r="C5" s="4">
        <f t="shared" si="0"/>
        <v>-0.70000000000000284</v>
      </c>
      <c r="D5" s="14">
        <f t="shared" ref="D5:D22" si="1">C5+D4</f>
        <v>-1.9000000000000057</v>
      </c>
      <c r="E5" s="6"/>
      <c r="F5" s="6"/>
    </row>
    <row r="6" spans="1:6" ht="20.25" customHeight="1" x14ac:dyDescent="0.2">
      <c r="A6" s="3">
        <v>4</v>
      </c>
      <c r="B6" s="4">
        <v>98.4</v>
      </c>
      <c r="C6" s="4">
        <f t="shared" si="0"/>
        <v>-0.59999999999999432</v>
      </c>
      <c r="D6" s="14">
        <f t="shared" si="1"/>
        <v>-2.5</v>
      </c>
      <c r="E6" s="4">
        <f>AVERAGE(B3:B6)</f>
        <v>98.375</v>
      </c>
      <c r="F6" s="27"/>
    </row>
    <row r="7" spans="1:6" ht="20.25" customHeight="1" x14ac:dyDescent="0.2">
      <c r="A7" s="3">
        <v>5</v>
      </c>
      <c r="B7" s="4">
        <v>102</v>
      </c>
      <c r="C7" s="4">
        <f t="shared" si="0"/>
        <v>3</v>
      </c>
      <c r="D7" s="14">
        <f t="shared" si="1"/>
        <v>0.5</v>
      </c>
      <c r="E7" s="4">
        <f t="shared" ref="E7:E22" si="2">AVERAGE(B4:B7)</f>
        <v>98.375</v>
      </c>
      <c r="F7" s="27"/>
    </row>
    <row r="8" spans="1:6" ht="20.25" customHeight="1" x14ac:dyDescent="0.2">
      <c r="A8" s="3">
        <v>6</v>
      </c>
      <c r="B8" s="4">
        <v>98.5</v>
      </c>
      <c r="C8" s="4">
        <f t="shared" si="0"/>
        <v>-0.5</v>
      </c>
      <c r="D8" s="14">
        <f t="shared" si="1"/>
        <v>0</v>
      </c>
      <c r="E8" s="4">
        <f t="shared" si="2"/>
        <v>99.3</v>
      </c>
      <c r="F8" s="26">
        <f>AVERAGE(B3:B8)</f>
        <v>99</v>
      </c>
    </row>
    <row r="9" spans="1:6" ht="20.25" customHeight="1" x14ac:dyDescent="0.2">
      <c r="A9" s="3">
        <v>7</v>
      </c>
      <c r="B9" s="4">
        <v>99</v>
      </c>
      <c r="C9" s="4">
        <f t="shared" si="0"/>
        <v>0</v>
      </c>
      <c r="D9" s="14">
        <f t="shared" si="1"/>
        <v>0</v>
      </c>
      <c r="E9" s="4">
        <f t="shared" si="2"/>
        <v>99.474999999999994</v>
      </c>
      <c r="F9" s="26">
        <f t="shared" ref="F9:F22" si="3">AVERAGE(B4:B9)</f>
        <v>98.5</v>
      </c>
    </row>
    <row r="10" spans="1:6" ht="20.25" customHeight="1" x14ac:dyDescent="0.2">
      <c r="A10" s="3">
        <v>8</v>
      </c>
      <c r="B10" s="4">
        <v>97.7</v>
      </c>
      <c r="C10" s="4">
        <f t="shared" si="0"/>
        <v>-1.2999999999999972</v>
      </c>
      <c r="D10" s="14">
        <f t="shared" si="1"/>
        <v>-1.2999999999999972</v>
      </c>
      <c r="E10" s="4">
        <f t="shared" si="2"/>
        <v>99.3</v>
      </c>
      <c r="F10" s="26">
        <f t="shared" si="3"/>
        <v>98.983333333333334</v>
      </c>
    </row>
    <row r="11" spans="1:6" ht="20.25" customHeight="1" x14ac:dyDescent="0.2">
      <c r="A11" s="3">
        <v>9</v>
      </c>
      <c r="B11" s="4">
        <v>100</v>
      </c>
      <c r="C11" s="4">
        <f t="shared" si="0"/>
        <v>1</v>
      </c>
      <c r="D11" s="14">
        <f t="shared" si="1"/>
        <v>-0.29999999999999716</v>
      </c>
      <c r="E11" s="4">
        <f t="shared" si="2"/>
        <v>98.8</v>
      </c>
      <c r="F11" s="26">
        <f t="shared" si="3"/>
        <v>99.266666666666652</v>
      </c>
    </row>
    <row r="12" spans="1:6" ht="20.25" customHeight="1" x14ac:dyDescent="0.2">
      <c r="A12" s="3">
        <v>10</v>
      </c>
      <c r="B12" s="4">
        <v>98.1</v>
      </c>
      <c r="C12" s="4">
        <f t="shared" si="0"/>
        <v>-0.90000000000000568</v>
      </c>
      <c r="D12" s="14">
        <f t="shared" si="1"/>
        <v>-1.2000000000000028</v>
      </c>
      <c r="E12" s="4">
        <f t="shared" si="2"/>
        <v>98.699999999999989</v>
      </c>
      <c r="F12" s="26">
        <f t="shared" si="3"/>
        <v>99.216666666666654</v>
      </c>
    </row>
    <row r="13" spans="1:6" ht="20.25" customHeight="1" x14ac:dyDescent="0.2">
      <c r="A13" s="3">
        <v>11</v>
      </c>
      <c r="B13" s="4">
        <v>101.3</v>
      </c>
      <c r="C13" s="4">
        <f t="shared" si="0"/>
        <v>2.2999999999999972</v>
      </c>
      <c r="D13" s="14">
        <f t="shared" si="1"/>
        <v>1.0999999999999943</v>
      </c>
      <c r="E13" s="4">
        <f t="shared" si="2"/>
        <v>99.274999999999991</v>
      </c>
      <c r="F13" s="26">
        <f t="shared" si="3"/>
        <v>99.09999999999998</v>
      </c>
    </row>
    <row r="14" spans="1:6" ht="20.25" customHeight="1" x14ac:dyDescent="0.2">
      <c r="A14" s="3">
        <v>12</v>
      </c>
      <c r="B14" s="4">
        <v>98.7</v>
      </c>
      <c r="C14" s="4">
        <f t="shared" si="0"/>
        <v>-0.29999999999999716</v>
      </c>
      <c r="D14" s="14">
        <f t="shared" si="1"/>
        <v>0.79999999999999716</v>
      </c>
      <c r="E14" s="4">
        <f t="shared" si="2"/>
        <v>99.524999999999991</v>
      </c>
      <c r="F14" s="26">
        <f t="shared" si="3"/>
        <v>99.133333333333326</v>
      </c>
    </row>
    <row r="15" spans="1:6" ht="20.25" customHeight="1" x14ac:dyDescent="0.2">
      <c r="A15" s="3">
        <v>13</v>
      </c>
      <c r="B15" s="4">
        <v>101.1</v>
      </c>
      <c r="C15" s="4">
        <f t="shared" si="0"/>
        <v>2.0999999999999943</v>
      </c>
      <c r="D15" s="14">
        <f t="shared" si="1"/>
        <v>2.8999999999999915</v>
      </c>
      <c r="E15" s="4">
        <f t="shared" si="2"/>
        <v>99.799999999999983</v>
      </c>
      <c r="F15" s="26">
        <f t="shared" si="3"/>
        <v>99.483333333333334</v>
      </c>
    </row>
    <row r="16" spans="1:6" ht="20.25" customHeight="1" x14ac:dyDescent="0.2">
      <c r="A16" s="3">
        <v>14</v>
      </c>
      <c r="B16" s="4">
        <v>98.4</v>
      </c>
      <c r="C16" s="4">
        <f t="shared" si="0"/>
        <v>-0.59999999999999432</v>
      </c>
      <c r="D16" s="14">
        <f t="shared" si="1"/>
        <v>2.2999999999999972</v>
      </c>
      <c r="E16" s="4">
        <f t="shared" si="2"/>
        <v>99.875</v>
      </c>
      <c r="F16" s="26">
        <f t="shared" si="3"/>
        <v>99.59999999999998</v>
      </c>
    </row>
    <row r="17" spans="1:6" ht="20.25" customHeight="1" x14ac:dyDescent="0.2">
      <c r="A17" s="3">
        <v>15</v>
      </c>
      <c r="B17" s="4">
        <v>97</v>
      </c>
      <c r="C17" s="4">
        <f t="shared" si="0"/>
        <v>-2</v>
      </c>
      <c r="D17" s="14">
        <f t="shared" si="1"/>
        <v>0.29999999999999716</v>
      </c>
      <c r="E17" s="4">
        <f t="shared" si="2"/>
        <v>98.800000000000011</v>
      </c>
      <c r="F17" s="26">
        <f t="shared" si="3"/>
        <v>99.09999999999998</v>
      </c>
    </row>
    <row r="18" spans="1:6" ht="20.25" customHeight="1" x14ac:dyDescent="0.2">
      <c r="A18" s="3">
        <v>16</v>
      </c>
      <c r="B18" s="4">
        <v>96.7</v>
      </c>
      <c r="C18" s="4">
        <f t="shared" si="0"/>
        <v>-2.2999999999999972</v>
      </c>
      <c r="D18" s="14">
        <f t="shared" si="1"/>
        <v>-2</v>
      </c>
      <c r="E18" s="4">
        <f t="shared" si="2"/>
        <v>98.3</v>
      </c>
      <c r="F18" s="26">
        <f t="shared" si="3"/>
        <v>98.866666666666674</v>
      </c>
    </row>
    <row r="19" spans="1:6" ht="20.25" customHeight="1" x14ac:dyDescent="0.2">
      <c r="A19" s="3">
        <v>17</v>
      </c>
      <c r="B19" s="4">
        <v>100.3</v>
      </c>
      <c r="C19" s="4">
        <f t="shared" si="0"/>
        <v>1.2999999999999972</v>
      </c>
      <c r="D19" s="14">
        <f t="shared" si="1"/>
        <v>-0.70000000000000284</v>
      </c>
      <c r="E19" s="4">
        <f t="shared" si="2"/>
        <v>98.100000000000009</v>
      </c>
      <c r="F19" s="26">
        <f t="shared" si="3"/>
        <v>98.7</v>
      </c>
    </row>
    <row r="20" spans="1:6" ht="20.25" customHeight="1" x14ac:dyDescent="0.2">
      <c r="A20" s="3">
        <v>18</v>
      </c>
      <c r="B20" s="4">
        <v>101.4</v>
      </c>
      <c r="C20" s="4">
        <f t="shared" si="0"/>
        <v>2.4000000000000057</v>
      </c>
      <c r="D20" s="14">
        <f t="shared" si="1"/>
        <v>1.7000000000000028</v>
      </c>
      <c r="E20" s="4">
        <f t="shared" si="2"/>
        <v>98.85</v>
      </c>
      <c r="F20" s="26">
        <f t="shared" si="3"/>
        <v>99.149999999999991</v>
      </c>
    </row>
    <row r="21" spans="1:6" ht="20.25" customHeight="1" x14ac:dyDescent="0.2">
      <c r="A21" s="3">
        <v>19</v>
      </c>
      <c r="B21" s="4">
        <v>97.2</v>
      </c>
      <c r="C21" s="4">
        <f t="shared" si="0"/>
        <v>-1.7999999999999972</v>
      </c>
      <c r="D21" s="14">
        <f t="shared" si="1"/>
        <v>-9.9999999999994316E-2</v>
      </c>
      <c r="E21" s="4">
        <f t="shared" si="2"/>
        <v>98.899999999999991</v>
      </c>
      <c r="F21" s="26">
        <f t="shared" si="3"/>
        <v>98.500000000000014</v>
      </c>
    </row>
    <row r="22" spans="1:6" ht="20.25" customHeight="1" x14ac:dyDescent="0.2">
      <c r="A22" s="3">
        <v>20</v>
      </c>
      <c r="B22" s="4">
        <v>101</v>
      </c>
      <c r="C22" s="4">
        <f t="shared" si="0"/>
        <v>2</v>
      </c>
      <c r="D22" s="14">
        <f t="shared" si="1"/>
        <v>1.9000000000000057</v>
      </c>
      <c r="E22" s="4">
        <f t="shared" si="2"/>
        <v>99.974999999999994</v>
      </c>
      <c r="F22" s="26">
        <f t="shared" si="3"/>
        <v>98.933333333333323</v>
      </c>
    </row>
    <row r="23" spans="1:6" ht="20.25" customHeight="1" x14ac:dyDescent="0.2">
      <c r="A23" s="1"/>
      <c r="B23" s="2"/>
      <c r="C23" s="2"/>
      <c r="D23" s="2"/>
      <c r="E2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Concentration</vt:lpstr>
      <vt:lpstr>ElectricalCurrent</vt:lpstr>
      <vt:lpstr>Ceramic</vt:lpstr>
      <vt:lpstr>CircuitBoard</vt:lpstr>
      <vt:lpstr>Concentration-2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2022-07-14T15:38:10Z</dcterms:created>
  <dcterms:modified xsi:type="dcterms:W3CDTF">2026-07-14T06:43:32Z</dcterms:modified>
</cp:coreProperties>
</file>