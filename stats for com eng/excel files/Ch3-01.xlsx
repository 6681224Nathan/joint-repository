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inpin\Desktop\joint-repository\stats for com eng\"/>
    </mc:Choice>
  </mc:AlternateContent>
  <xr:revisionPtr revIDLastSave="0" documentId="13_ncr:1_{2C93AE51-C248-4DE4-9F4D-F837F39C2B7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YtD5iSsgHI8x+JBGmHyA0Ub738YBw4HTOOYqgHm3/w="/>
    </ext>
  </extLst>
</workbook>
</file>

<file path=xl/calcChain.xml><?xml version="1.0" encoding="utf-8"?>
<calcChain xmlns="http://schemas.openxmlformats.org/spreadsheetml/2006/main">
  <c r="B24" i="2" l="1"/>
  <c r="B15" i="2"/>
  <c r="B14" i="2"/>
  <c r="B8" i="2"/>
  <c r="E5" i="2"/>
  <c r="H3" i="1"/>
  <c r="B18" i="3"/>
  <c r="B13" i="3"/>
  <c r="B8" i="3"/>
  <c r="E21" i="2"/>
  <c r="B7" i="2"/>
  <c r="E4" i="2"/>
  <c r="E3" i="2"/>
  <c r="B3" i="2"/>
  <c r="B2" i="2"/>
  <c r="H17" i="1"/>
  <c r="B17" i="1"/>
  <c r="H16" i="1"/>
  <c r="B16" i="1"/>
  <c r="B15" i="1"/>
  <c r="B14" i="1"/>
  <c r="B13" i="1"/>
  <c r="B12" i="1"/>
  <c r="E8" i="1"/>
  <c r="B8" i="1"/>
  <c r="E7" i="1"/>
  <c r="D7" i="1"/>
  <c r="E6" i="1"/>
  <c r="D6" i="1"/>
  <c r="E5" i="1"/>
  <c r="D5" i="1"/>
  <c r="E4" i="1"/>
  <c r="D4" i="1"/>
  <c r="E3" i="1"/>
  <c r="D3" i="1"/>
  <c r="E2" i="1"/>
  <c r="D2" i="1"/>
  <c r="E6" i="2" l="1"/>
  <c r="B18" i="1"/>
  <c r="E17" i="1"/>
  <c r="E16" i="1"/>
  <c r="D16" i="1"/>
  <c r="E15" i="1"/>
  <c r="E14" i="1"/>
  <c r="D14" i="1"/>
  <c r="D13" i="1"/>
  <c r="D12" i="1"/>
  <c r="D17" i="1"/>
  <c r="D15" i="1"/>
  <c r="E13" i="1"/>
  <c r="E12" i="1"/>
  <c r="D8" i="1"/>
  <c r="H2" i="1" s="1"/>
  <c r="D18" i="1" l="1"/>
  <c r="H4" i="1"/>
  <c r="E18" i="1"/>
  <c r="H12" i="1" l="1"/>
  <c r="H13" i="1"/>
  <c r="H14" i="1" s="1"/>
  <c r="H18" i="1" s="1"/>
</calcChain>
</file>

<file path=xl/sharedStrings.xml><?xml version="1.0" encoding="utf-8"?>
<sst xmlns="http://schemas.openxmlformats.org/spreadsheetml/2006/main" count="65" uniqueCount="47">
  <si>
    <t>x</t>
  </si>
  <si>
    <t>f(x) = P(X=x)</t>
  </si>
  <si>
    <t>x*f(x)</t>
  </si>
  <si>
    <t>x^2 *f(x)</t>
  </si>
  <si>
    <t>POWER(A2,2)*B2</t>
  </si>
  <si>
    <t>mean</t>
  </si>
  <si>
    <t>variance</t>
  </si>
  <si>
    <t>E8-POWER(H2,2) (variance formula)</t>
  </si>
  <si>
    <t>standard deviation</t>
  </si>
  <si>
    <t>SQRT(H3)</t>
  </si>
  <si>
    <t>Uniform distribution</t>
  </si>
  <si>
    <t>mean (use shortcut formula for uniform distribution)</t>
  </si>
  <si>
    <t>1/2 * (a+b)</t>
  </si>
  <si>
    <t>((b-a+1)^2-1)/12</t>
  </si>
  <si>
    <t>sd</t>
  </si>
  <si>
    <t>b is max amount, a is the least amount (starting amount)</t>
  </si>
  <si>
    <t>Binomial Distribution</t>
  </si>
  <si>
    <t>P(X=2) = f(2)</t>
  </si>
  <si>
    <t>BINOM.DIST(num_successes, num_trials, prob_success, cumulative)</t>
  </si>
  <si>
    <t>For cumulative distribution function, it is P(X=0)+P(X=1)+P(X=2)</t>
  </si>
  <si>
    <t>P(X&lt;=2) = F(2)</t>
  </si>
  <si>
    <t>P(X=0)</t>
  </si>
  <si>
    <t>P(X=1)</t>
  </si>
  <si>
    <t>P(X=2)</t>
  </si>
  <si>
    <t>sum</t>
  </si>
  <si>
    <t>P(X&gt;2)</t>
  </si>
  <si>
    <t>P(0&lt;X&lt;=3)</t>
  </si>
  <si>
    <t>P(X&lt;=3) - P(X&lt;=0)</t>
  </si>
  <si>
    <t>Poisson Distribution</t>
  </si>
  <si>
    <t>Lambda</t>
  </si>
  <si>
    <t>flaws/mm</t>
  </si>
  <si>
    <t>P(X&lt;=5)</t>
  </si>
  <si>
    <t>10 flaws/5mm</t>
  </si>
  <si>
    <t>flaws/5mm</t>
  </si>
  <si>
    <t>P(X=10 flaws/6mm)</t>
  </si>
  <si>
    <t>Organic Pollution</t>
  </si>
  <si>
    <t>1.Which kind of the distribution?</t>
  </si>
  <si>
    <t>Ans</t>
  </si>
  <si>
    <t>binomial distribution</t>
  </si>
  <si>
    <t>p=0.1</t>
  </si>
  <si>
    <t>2.Find the probability that, in the next 18 samples, exactly 2 contain the pollutant.</t>
  </si>
  <si>
    <t>n</t>
  </si>
  <si>
    <t>p</t>
  </si>
  <si>
    <t>3.Find the probability that, in the next 20 samples, more than 3 contain the pollutant.</t>
  </si>
  <si>
    <t>P(X&gt;3)</t>
  </si>
  <si>
    <t>4.In the next 18 samples, determine the probability that at least 4 samples contain the pollutant.</t>
  </si>
  <si>
    <t>P(X&gt;=4)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</si>
</sst>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FF0000"/>
      <name val="Calibri"/>
    </font>
    <font>
      <sz val="11"/>
      <color rgb="FFFF0000"/>
      <name val="Calibri"/>
      <scheme val="minor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4" borderId="1" xfId="0" applyNumberFormat="1" applyFont="1" applyFill="1" applyBorder="1"/>
    <xf numFmtId="2" fontId="1" fillId="0" borderId="1" xfId="0" applyNumberFormat="1" applyFont="1" applyBorder="1"/>
    <xf numFmtId="0" fontId="2" fillId="0" borderId="0" xfId="0" applyFont="1"/>
    <xf numFmtId="0" fontId="1" fillId="0" borderId="1" xfId="0" applyFont="1" applyBorder="1"/>
    <xf numFmtId="2" fontId="1" fillId="5" borderId="1" xfId="0" applyNumberFormat="1" applyFont="1" applyFill="1" applyBorder="1"/>
    <xf numFmtId="2" fontId="2" fillId="0" borderId="0" xfId="0" applyNumberFormat="1" applyFont="1"/>
    <xf numFmtId="0" fontId="1" fillId="5" borderId="1" xfId="0" applyFont="1" applyFill="1" applyBorder="1"/>
    <xf numFmtId="2" fontId="1" fillId="0" borderId="0" xfId="0" applyNumberFormat="1" applyFont="1"/>
    <xf numFmtId="2" fontId="1" fillId="6" borderId="1" xfId="0" applyNumberFormat="1" applyFont="1" applyFill="1" applyBorder="1"/>
    <xf numFmtId="0" fontId="1" fillId="2" borderId="2" xfId="0" applyFont="1" applyFill="1" applyBorder="1"/>
    <xf numFmtId="0" fontId="1" fillId="7" borderId="1" xfId="0" applyFont="1" applyFill="1" applyBorder="1" applyAlignment="1">
      <alignment horizontal="center"/>
    </xf>
    <xf numFmtId="0" fontId="1" fillId="4" borderId="1" xfId="0" applyFont="1" applyFill="1" applyBorder="1"/>
    <xf numFmtId="0" fontId="3" fillId="2" borderId="2" xfId="0" applyFont="1" applyFill="1" applyBorder="1"/>
    <xf numFmtId="0" fontId="4" fillId="5" borderId="1" xfId="0" applyFont="1" applyFill="1" applyBorder="1"/>
    <xf numFmtId="0" fontId="5" fillId="8" borderId="0" xfId="0" applyFont="1" applyFill="1"/>
    <xf numFmtId="0" fontId="1" fillId="0" borderId="0" xfId="0" applyFont="1" applyAlignment="1">
      <alignment horizontal="left"/>
    </xf>
    <xf numFmtId="0" fontId="4" fillId="0" borderId="0" xfId="0" applyFont="1"/>
    <xf numFmtId="0" fontId="1" fillId="3" borderId="1" xfId="0" applyFont="1" applyFill="1" applyBorder="1"/>
    <xf numFmtId="0" fontId="3" fillId="2" borderId="3" xfId="0" applyFont="1" applyFill="1" applyBorder="1" applyAlignment="1">
      <alignment horizontal="center"/>
    </xf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A4" workbookViewId="0">
      <selection activeCell="G17" sqref="G17"/>
    </sheetView>
  </sheetViews>
  <sheetFormatPr defaultColWidth="14.453125" defaultRowHeight="15" customHeight="1" x14ac:dyDescent="0.35"/>
  <cols>
    <col min="1" max="2" width="12.54296875" customWidth="1"/>
    <col min="3" max="3" width="3.54296875" customWidth="1"/>
    <col min="4" max="5" width="12.54296875" customWidth="1"/>
    <col min="6" max="6" width="17.26953125" customWidth="1"/>
    <col min="7" max="7" width="16.54296875" customWidth="1"/>
    <col min="8" max="8" width="10.54296875" customWidth="1"/>
    <col min="9" max="26" width="8.7265625" customWidth="1"/>
  </cols>
  <sheetData>
    <row r="1" spans="1:9" ht="14.25" customHeight="1" x14ac:dyDescent="0.35">
      <c r="A1" s="1" t="s">
        <v>0</v>
      </c>
      <c r="B1" s="1" t="s">
        <v>1</v>
      </c>
      <c r="D1" s="2" t="s">
        <v>2</v>
      </c>
      <c r="E1" s="2" t="s">
        <v>3</v>
      </c>
    </row>
    <row r="2" spans="1:9" ht="14.25" customHeight="1" x14ac:dyDescent="0.35">
      <c r="A2" s="3">
        <v>10</v>
      </c>
      <c r="B2" s="4">
        <v>0.08</v>
      </c>
      <c r="D2" s="5">
        <f t="shared" ref="D2:D7" si="0">A2*B2</f>
        <v>0.8</v>
      </c>
      <c r="E2" s="5">
        <f t="shared" ref="E2:E7" si="1">POWER(A2,2)*B2</f>
        <v>8</v>
      </c>
      <c r="F2" s="6" t="s">
        <v>4</v>
      </c>
      <c r="G2" s="7" t="s">
        <v>5</v>
      </c>
      <c r="H2" s="8">
        <f>D8</f>
        <v>12.500000000000002</v>
      </c>
    </row>
    <row r="3" spans="1:9" ht="14.25" customHeight="1" x14ac:dyDescent="0.35">
      <c r="A3" s="3">
        <v>11</v>
      </c>
      <c r="B3" s="4">
        <v>0.15</v>
      </c>
      <c r="D3" s="5">
        <f t="shared" si="0"/>
        <v>1.65</v>
      </c>
      <c r="E3" s="5">
        <f t="shared" si="1"/>
        <v>18.149999999999999</v>
      </c>
      <c r="G3" s="7" t="s">
        <v>6</v>
      </c>
      <c r="H3" s="9">
        <f>E8-POWER(H2,2)</f>
        <v>1.8499999999999659</v>
      </c>
      <c r="I3" s="6" t="s">
        <v>7</v>
      </c>
    </row>
    <row r="4" spans="1:9" ht="14.25" customHeight="1" x14ac:dyDescent="0.35">
      <c r="A4" s="3">
        <v>12</v>
      </c>
      <c r="B4" s="4">
        <v>0.3</v>
      </c>
      <c r="D4" s="5">
        <f t="shared" si="0"/>
        <v>3.5999999999999996</v>
      </c>
      <c r="E4" s="5">
        <f t="shared" si="1"/>
        <v>43.199999999999996</v>
      </c>
      <c r="G4" s="7" t="s">
        <v>8</v>
      </c>
      <c r="H4" s="10">
        <f>SQRT(H3)</f>
        <v>1.3601470508735318</v>
      </c>
      <c r="I4" s="6" t="s">
        <v>9</v>
      </c>
    </row>
    <row r="5" spans="1:9" ht="14.25" customHeight="1" x14ac:dyDescent="0.35">
      <c r="A5" s="3">
        <v>13</v>
      </c>
      <c r="B5" s="4">
        <v>0.2</v>
      </c>
      <c r="D5" s="5">
        <f t="shared" si="0"/>
        <v>2.6</v>
      </c>
      <c r="E5" s="5">
        <f t="shared" si="1"/>
        <v>33.800000000000004</v>
      </c>
    </row>
    <row r="6" spans="1:9" ht="14.25" customHeight="1" x14ac:dyDescent="0.35">
      <c r="A6" s="3">
        <v>14</v>
      </c>
      <c r="B6" s="4">
        <v>0.2</v>
      </c>
      <c r="D6" s="5">
        <f t="shared" si="0"/>
        <v>2.8000000000000003</v>
      </c>
      <c r="E6" s="5">
        <f t="shared" si="1"/>
        <v>39.200000000000003</v>
      </c>
    </row>
    <row r="7" spans="1:9" ht="14.25" customHeight="1" x14ac:dyDescent="0.35">
      <c r="A7" s="3">
        <v>15</v>
      </c>
      <c r="B7" s="4">
        <v>7.0000000000000007E-2</v>
      </c>
      <c r="D7" s="5">
        <f t="shared" si="0"/>
        <v>1.05</v>
      </c>
      <c r="E7" s="5">
        <f t="shared" si="1"/>
        <v>15.750000000000002</v>
      </c>
    </row>
    <row r="8" spans="1:9" ht="14.25" customHeight="1" x14ac:dyDescent="0.35">
      <c r="B8" s="11">
        <f>SUM(B2:B7)</f>
        <v>1</v>
      </c>
      <c r="D8" s="12">
        <f t="shared" ref="D8:E8" si="2">SUM(D2:D7)</f>
        <v>12.500000000000002</v>
      </c>
      <c r="E8" s="12">
        <f t="shared" si="2"/>
        <v>158.10000000000002</v>
      </c>
    </row>
    <row r="9" spans="1:9" ht="14.25" customHeight="1" x14ac:dyDescent="0.35"/>
    <row r="10" spans="1:9" ht="14.25" customHeight="1" x14ac:dyDescent="0.35">
      <c r="A10" s="13" t="s">
        <v>10</v>
      </c>
      <c r="B10" s="13"/>
    </row>
    <row r="11" spans="1:9" ht="14.25" customHeight="1" x14ac:dyDescent="0.35">
      <c r="A11" s="14" t="s">
        <v>0</v>
      </c>
      <c r="B11" s="14" t="s">
        <v>1</v>
      </c>
      <c r="D11" s="2" t="s">
        <v>2</v>
      </c>
      <c r="E11" s="2" t="s">
        <v>3</v>
      </c>
    </row>
    <row r="12" spans="1:9" ht="14.25" customHeight="1" x14ac:dyDescent="0.35">
      <c r="A12" s="3">
        <v>10</v>
      </c>
      <c r="B12" s="4">
        <f t="shared" ref="B12:B17" si="3">1/6</f>
        <v>0.16666666666666666</v>
      </c>
      <c r="D12" s="5">
        <f t="shared" ref="D12:D17" si="4">A12*B12</f>
        <v>1.6666666666666665</v>
      </c>
      <c r="E12" s="5">
        <f t="shared" ref="E12:E17" si="5">POWER(A12,2)*B12</f>
        <v>16.666666666666664</v>
      </c>
      <c r="G12" s="7" t="s">
        <v>5</v>
      </c>
      <c r="H12" s="8">
        <f>D18</f>
        <v>12.5</v>
      </c>
    </row>
    <row r="13" spans="1:9" ht="14.25" customHeight="1" x14ac:dyDescent="0.35">
      <c r="A13" s="3">
        <v>11</v>
      </c>
      <c r="B13" s="4">
        <f t="shared" si="3"/>
        <v>0.16666666666666666</v>
      </c>
      <c r="D13" s="5">
        <f t="shared" si="4"/>
        <v>1.8333333333333333</v>
      </c>
      <c r="E13" s="5">
        <f t="shared" si="5"/>
        <v>20.166666666666664</v>
      </c>
      <c r="G13" s="7" t="s">
        <v>6</v>
      </c>
      <c r="H13" s="8">
        <f>SUM(E12:E17)-POWER(D18,2)</f>
        <v>2.9166666666666572</v>
      </c>
    </row>
    <row r="14" spans="1:9" ht="14.25" customHeight="1" x14ac:dyDescent="0.35">
      <c r="A14" s="3">
        <v>12</v>
      </c>
      <c r="B14" s="4">
        <f t="shared" si="3"/>
        <v>0.16666666666666666</v>
      </c>
      <c r="D14" s="5">
        <f t="shared" si="4"/>
        <v>2</v>
      </c>
      <c r="E14" s="5">
        <f t="shared" si="5"/>
        <v>24</v>
      </c>
      <c r="G14" s="7" t="s">
        <v>8</v>
      </c>
      <c r="H14" s="10">
        <f>SQRT(H13)</f>
        <v>1.7078251276599303</v>
      </c>
    </row>
    <row r="15" spans="1:9" ht="14.25" customHeight="1" x14ac:dyDescent="0.35">
      <c r="A15" s="3">
        <v>13</v>
      </c>
      <c r="B15" s="4">
        <f t="shared" si="3"/>
        <v>0.16666666666666666</v>
      </c>
      <c r="D15" s="5">
        <f t="shared" si="4"/>
        <v>2.1666666666666665</v>
      </c>
      <c r="E15" s="5">
        <f t="shared" si="5"/>
        <v>28.166666666666664</v>
      </c>
    </row>
    <row r="16" spans="1:9" ht="14.25" customHeight="1" x14ac:dyDescent="0.35">
      <c r="A16" s="3">
        <v>14</v>
      </c>
      <c r="B16" s="4">
        <f t="shared" si="3"/>
        <v>0.16666666666666666</v>
      </c>
      <c r="D16" s="5">
        <f t="shared" si="4"/>
        <v>2.333333333333333</v>
      </c>
      <c r="E16" s="5">
        <f t="shared" si="5"/>
        <v>32.666666666666664</v>
      </c>
      <c r="F16" s="6" t="s">
        <v>11</v>
      </c>
      <c r="G16" s="7" t="s">
        <v>12</v>
      </c>
      <c r="H16" s="15">
        <f>1/2*(A12+A17)</f>
        <v>12.5</v>
      </c>
    </row>
    <row r="17" spans="1:8" ht="14.25" customHeight="1" x14ac:dyDescent="0.35">
      <c r="A17" s="3">
        <v>15</v>
      </c>
      <c r="B17" s="4">
        <f t="shared" si="3"/>
        <v>0.16666666666666666</v>
      </c>
      <c r="D17" s="5">
        <f t="shared" si="4"/>
        <v>2.5</v>
      </c>
      <c r="E17" s="5">
        <f t="shared" si="5"/>
        <v>37.5</v>
      </c>
      <c r="F17" s="6" t="s">
        <v>6</v>
      </c>
      <c r="G17" s="7" t="s">
        <v>13</v>
      </c>
      <c r="H17" s="7">
        <f>(POWER((A17-A12+1),2)-1)/12</f>
        <v>2.9166666666666665</v>
      </c>
    </row>
    <row r="18" spans="1:8" ht="14.25" customHeight="1" x14ac:dyDescent="0.35">
      <c r="B18" s="11">
        <f>SUM(B12:B17)</f>
        <v>0.99999999999999989</v>
      </c>
      <c r="D18" s="12">
        <f t="shared" ref="D18:E18" si="6">SUM(D12:D17)</f>
        <v>12.5</v>
      </c>
      <c r="E18" s="12">
        <f t="shared" si="6"/>
        <v>159.16666666666666</v>
      </c>
      <c r="F18" s="6" t="s">
        <v>14</v>
      </c>
      <c r="G18" s="7" t="s">
        <v>14</v>
      </c>
      <c r="H18" s="7">
        <f>H14</f>
        <v>1.7078251276599303</v>
      </c>
    </row>
    <row r="19" spans="1:8" ht="14.25" customHeight="1" x14ac:dyDescent="0.35"/>
    <row r="20" spans="1:8" ht="14.25" customHeight="1" x14ac:dyDescent="0.35">
      <c r="F20" s="6" t="s">
        <v>15</v>
      </c>
    </row>
    <row r="21" spans="1:8" ht="14.25" customHeight="1" x14ac:dyDescent="0.35"/>
    <row r="22" spans="1:8" ht="14.25" customHeight="1" x14ac:dyDescent="0.35"/>
    <row r="23" spans="1:8" ht="14.25" customHeight="1" x14ac:dyDescent="0.35"/>
    <row r="24" spans="1:8" ht="14.25" customHeight="1" x14ac:dyDescent="0.35"/>
    <row r="25" spans="1:8" ht="14.25" customHeight="1" x14ac:dyDescent="0.35"/>
    <row r="26" spans="1:8" ht="14.25" customHeight="1" x14ac:dyDescent="0.35"/>
    <row r="27" spans="1:8" ht="14.25" customHeight="1" x14ac:dyDescent="0.35"/>
    <row r="28" spans="1:8" ht="14.25" customHeight="1" x14ac:dyDescent="0.35"/>
    <row r="29" spans="1:8" ht="14.25" customHeight="1" x14ac:dyDescent="0.35"/>
    <row r="30" spans="1:8" ht="14.25" customHeight="1" x14ac:dyDescent="0.35"/>
    <row r="31" spans="1:8" ht="14.25" customHeight="1" x14ac:dyDescent="0.35"/>
    <row r="32" spans="1: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A17" workbookViewId="0">
      <selection activeCell="B25" sqref="B25"/>
    </sheetView>
  </sheetViews>
  <sheetFormatPr defaultColWidth="14.453125" defaultRowHeight="15" customHeight="1" x14ac:dyDescent="0.35"/>
  <cols>
    <col min="1" max="1" width="18.54296875" customWidth="1"/>
    <col min="2" max="2" width="8.7265625" customWidth="1"/>
    <col min="3" max="3" width="10.7265625" customWidth="1"/>
    <col min="4" max="26" width="8.7265625" customWidth="1"/>
  </cols>
  <sheetData>
    <row r="1" spans="1:5" ht="14.25" customHeight="1" x14ac:dyDescent="0.35">
      <c r="A1" s="16" t="s">
        <v>16</v>
      </c>
    </row>
    <row r="2" spans="1:5" ht="14.25" customHeight="1" x14ac:dyDescent="0.35">
      <c r="A2" s="7" t="s">
        <v>17</v>
      </c>
      <c r="B2" s="10">
        <f>_xlfn.BINOM.DIST(2, 4, 0.1, FALSE)</f>
        <v>4.8600000000000011E-2</v>
      </c>
      <c r="C2" s="6" t="s">
        <v>18</v>
      </c>
      <c r="D2" s="6" t="s">
        <v>19</v>
      </c>
    </row>
    <row r="3" spans="1:5" ht="14.25" customHeight="1" x14ac:dyDescent="0.35">
      <c r="A3" s="7" t="s">
        <v>20</v>
      </c>
      <c r="B3" s="17">
        <f>_xlfn.BINOM.DIST(2, 4, 0.1, TRUE)</f>
        <v>0.99629999999999996</v>
      </c>
      <c r="C3" s="6" t="s">
        <v>19</v>
      </c>
      <c r="D3" s="6" t="s">
        <v>21</v>
      </c>
      <c r="E3" s="6">
        <f>_xlfn.BINOM.DIST(0, 4, 0.1, FALSE)</f>
        <v>0.65610000000000002</v>
      </c>
    </row>
    <row r="4" spans="1:5" ht="14.25" customHeight="1" x14ac:dyDescent="0.35">
      <c r="D4" s="6" t="s">
        <v>22</v>
      </c>
      <c r="E4" s="6">
        <f>_xlfn.BINOM.DIST(1, 4, 0.1, FALSE)</f>
        <v>0.29159999999999991</v>
      </c>
    </row>
    <row r="5" spans="1:5" ht="14.25" customHeight="1" x14ac:dyDescent="0.35">
      <c r="D5" s="6" t="s">
        <v>23</v>
      </c>
      <c r="E5" s="6">
        <f>_xlfn.BINOM.DIST(2, 4, 0.1, FALSE)</f>
        <v>4.8600000000000011E-2</v>
      </c>
    </row>
    <row r="6" spans="1:5" ht="14.25" customHeight="1" x14ac:dyDescent="0.35">
      <c r="D6" s="6" t="s">
        <v>24</v>
      </c>
      <c r="E6" s="18">
        <f>SUM(E3:E5)</f>
        <v>0.99629999999999996</v>
      </c>
    </row>
    <row r="7" spans="1:5" ht="14.25" customHeight="1" x14ac:dyDescent="0.35">
      <c r="A7" s="7" t="s">
        <v>25</v>
      </c>
      <c r="B7" s="10">
        <f>1-_xlfn.BINOM.DIST(2, 4, 0.1, TRUE)</f>
        <v>3.7000000000000366E-3</v>
      </c>
    </row>
    <row r="8" spans="1:5" ht="14.25" customHeight="1" x14ac:dyDescent="0.35">
      <c r="A8" s="7" t="s">
        <v>26</v>
      </c>
      <c r="B8" s="10">
        <f>_xlfn.BINOM.DIST(3, 4, 0.1, TRUE) -_xlfn.BINOM.DIST(0, 4, 0.1, TRUE)</f>
        <v>0.34379999999999999</v>
      </c>
      <c r="D8" s="6" t="s">
        <v>27</v>
      </c>
    </row>
    <row r="9" spans="1:5" ht="14.25" customHeight="1" x14ac:dyDescent="0.35"/>
    <row r="10" spans="1:5" ht="14.25" customHeight="1" x14ac:dyDescent="0.35"/>
    <row r="11" spans="1:5" ht="14.25" customHeight="1" x14ac:dyDescent="0.35"/>
    <row r="12" spans="1:5" ht="14.25" customHeight="1" x14ac:dyDescent="0.35">
      <c r="A12" s="16" t="s">
        <v>28</v>
      </c>
    </row>
    <row r="13" spans="1:5" ht="14.25" customHeight="1" x14ac:dyDescent="0.35">
      <c r="A13" s="6" t="s">
        <v>29</v>
      </c>
      <c r="B13" s="6">
        <v>2.2999999999999998</v>
      </c>
      <c r="C13" s="6" t="s">
        <v>30</v>
      </c>
    </row>
    <row r="14" spans="1:5" ht="14.25" customHeight="1" x14ac:dyDescent="0.35">
      <c r="A14" s="7" t="s">
        <v>23</v>
      </c>
      <c r="B14" s="10">
        <f>_xlfn.POISSON.DIST(2, 2.3, FALSE)</f>
        <v>0.26518464164681593</v>
      </c>
    </row>
    <row r="15" spans="1:5" ht="14.25" customHeight="1" x14ac:dyDescent="0.35">
      <c r="A15" s="7" t="s">
        <v>31</v>
      </c>
      <c r="B15" s="10">
        <f>_xlfn.POISSON.DIST(5, 2.3, TRUE)</f>
        <v>0.9700243063025451</v>
      </c>
      <c r="D15" s="19">
        <v>0</v>
      </c>
    </row>
    <row r="16" spans="1:5" ht="14.25" customHeight="1" x14ac:dyDescent="0.35">
      <c r="D16" s="19">
        <v>1</v>
      </c>
    </row>
    <row r="17" spans="1:5" ht="14.25" customHeight="1" x14ac:dyDescent="0.35">
      <c r="D17" s="19">
        <v>2</v>
      </c>
    </row>
    <row r="18" spans="1:5" ht="14.25" customHeight="1" x14ac:dyDescent="0.35">
      <c r="D18" s="19">
        <v>3</v>
      </c>
    </row>
    <row r="19" spans="1:5" ht="14.25" customHeight="1" x14ac:dyDescent="0.35">
      <c r="D19" s="19">
        <v>4</v>
      </c>
    </row>
    <row r="20" spans="1:5" ht="14.25" customHeight="1" x14ac:dyDescent="0.35">
      <c r="D20" s="19">
        <v>5</v>
      </c>
    </row>
    <row r="21" spans="1:5" ht="14.25" customHeight="1" x14ac:dyDescent="0.35">
      <c r="D21" s="6" t="s">
        <v>24</v>
      </c>
      <c r="E21" s="6">
        <f>SUM(E15:E20)</f>
        <v>0</v>
      </c>
    </row>
    <row r="22" spans="1:5" ht="14.25" customHeight="1" x14ac:dyDescent="0.35">
      <c r="A22" s="20" t="s">
        <v>32</v>
      </c>
    </row>
    <row r="23" spans="1:5" ht="14.25" customHeight="1" x14ac:dyDescent="0.35">
      <c r="A23" s="7" t="s">
        <v>29</v>
      </c>
      <c r="B23" s="10">
        <v>11.5</v>
      </c>
      <c r="C23" s="6" t="s">
        <v>33</v>
      </c>
      <c r="E23">
        <v>13.8</v>
      </c>
    </row>
    <row r="24" spans="1:5" ht="14.25" customHeight="1" x14ac:dyDescent="0.35">
      <c r="A24" s="7" t="s">
        <v>34</v>
      </c>
      <c r="B24" s="10">
        <f>_xlfn.POISSON.DIST(10, 13.8, FALSE)</f>
        <v>7.010741932078586E-2</v>
      </c>
    </row>
    <row r="25" spans="1:5" ht="14.25" customHeight="1" x14ac:dyDescent="0.35"/>
    <row r="26" spans="1:5" ht="14.25" customHeight="1" x14ac:dyDescent="0.35"/>
    <row r="27" spans="1:5" ht="14.25" customHeight="1" x14ac:dyDescent="0.35"/>
    <row r="28" spans="1:5" ht="14.25" customHeight="1" x14ac:dyDescent="0.35"/>
    <row r="29" spans="1:5" ht="14.25" customHeight="1" x14ac:dyDescent="0.35"/>
    <row r="30" spans="1:5" ht="14.25" customHeight="1" x14ac:dyDescent="0.35"/>
    <row r="31" spans="1:5" ht="14.25" customHeight="1" x14ac:dyDescent="0.35"/>
    <row r="32" spans="1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tabSelected="1" workbookViewId="0">
      <selection activeCell="J5" sqref="J5"/>
    </sheetView>
  </sheetViews>
  <sheetFormatPr defaultColWidth="14.453125" defaultRowHeight="15" customHeight="1" x14ac:dyDescent="0.35"/>
  <cols>
    <col min="1" max="1" width="12.54296875" customWidth="1"/>
    <col min="2" max="2" width="15.54296875" customWidth="1"/>
    <col min="3" max="26" width="8.7265625" customWidth="1"/>
  </cols>
  <sheetData>
    <row r="1" spans="1:4" ht="14.25" customHeight="1" x14ac:dyDescent="0.35">
      <c r="A1" s="22" t="s">
        <v>35</v>
      </c>
      <c r="B1" s="23"/>
    </row>
    <row r="2" spans="1:4" ht="14.25" customHeight="1" x14ac:dyDescent="0.35">
      <c r="A2" s="6" t="s">
        <v>36</v>
      </c>
    </row>
    <row r="3" spans="1:4" ht="14.25" customHeight="1" x14ac:dyDescent="0.35">
      <c r="A3" s="7" t="s">
        <v>37</v>
      </c>
      <c r="B3" s="21" t="s">
        <v>38</v>
      </c>
      <c r="D3" s="6" t="s">
        <v>39</v>
      </c>
    </row>
    <row r="4" spans="1:4" ht="14.25" customHeight="1" x14ac:dyDescent="0.35"/>
    <row r="5" spans="1:4" ht="14.25" customHeight="1" x14ac:dyDescent="0.35">
      <c r="A5" s="6" t="s">
        <v>40</v>
      </c>
    </row>
    <row r="6" spans="1:4" ht="14.25" customHeight="1" x14ac:dyDescent="0.35">
      <c r="A6" s="7" t="s">
        <v>41</v>
      </c>
      <c r="B6" s="21">
        <v>18</v>
      </c>
    </row>
    <row r="7" spans="1:4" ht="14.25" customHeight="1" x14ac:dyDescent="0.35">
      <c r="A7" s="7" t="s">
        <v>42</v>
      </c>
      <c r="B7" s="21">
        <v>0.1</v>
      </c>
    </row>
    <row r="8" spans="1:4" ht="14.25" customHeight="1" x14ac:dyDescent="0.35">
      <c r="A8" s="7" t="s">
        <v>23</v>
      </c>
      <c r="B8" s="21">
        <f>_xlfn.BINOM.DIST(2, 18, 0.1, FALSE)</f>
        <v>0.28351208889433166</v>
      </c>
    </row>
    <row r="9" spans="1:4" ht="14.25" customHeight="1" x14ac:dyDescent="0.35"/>
    <row r="10" spans="1:4" ht="14.25" customHeight="1" x14ac:dyDescent="0.35">
      <c r="A10" s="6" t="s">
        <v>43</v>
      </c>
    </row>
    <row r="11" spans="1:4" ht="14.25" customHeight="1" x14ac:dyDescent="0.35">
      <c r="A11" s="7" t="s">
        <v>41</v>
      </c>
      <c r="B11" s="21">
        <v>20</v>
      </c>
    </row>
    <row r="12" spans="1:4" ht="14.25" customHeight="1" x14ac:dyDescent="0.35">
      <c r="A12" s="7" t="s">
        <v>42</v>
      </c>
      <c r="B12" s="21">
        <v>0.1</v>
      </c>
    </row>
    <row r="13" spans="1:4" ht="14.25" customHeight="1" x14ac:dyDescent="0.35">
      <c r="A13" s="7" t="s">
        <v>44</v>
      </c>
      <c r="B13" s="21">
        <f>1-_xlfn.BINOM.DIST(3, 20, 0.1, TRUE)</f>
        <v>0.13295332343433497</v>
      </c>
    </row>
    <row r="14" spans="1:4" ht="14.25" customHeight="1" x14ac:dyDescent="0.35"/>
    <row r="15" spans="1:4" ht="14.25" customHeight="1" x14ac:dyDescent="0.35">
      <c r="A15" s="6" t="s">
        <v>45</v>
      </c>
    </row>
    <row r="16" spans="1:4" ht="14.25" customHeight="1" x14ac:dyDescent="0.35">
      <c r="A16" s="7" t="s">
        <v>41</v>
      </c>
      <c r="B16" s="21">
        <v>18</v>
      </c>
    </row>
    <row r="17" spans="1:2" ht="14.25" customHeight="1" x14ac:dyDescent="0.35">
      <c r="A17" s="7" t="s">
        <v>42</v>
      </c>
      <c r="B17" s="21">
        <v>0.1</v>
      </c>
    </row>
    <row r="18" spans="1:2" ht="14.25" customHeight="1" x14ac:dyDescent="0.35">
      <c r="A18" s="7" t="s">
        <v>46</v>
      </c>
      <c r="B18" s="21">
        <f>1-_xlfn.BINOM.DIST(3, 18, 0.1, TRUE)</f>
        <v>9.8196841425437276E-2</v>
      </c>
    </row>
    <row r="19" spans="1:2" ht="14.25" customHeight="1" x14ac:dyDescent="0.35"/>
    <row r="20" spans="1:2" ht="14.25" customHeight="1" x14ac:dyDescent="0.35"/>
    <row r="21" spans="1:2" ht="14.25" customHeight="1" x14ac:dyDescent="0.35"/>
    <row r="22" spans="1:2" ht="14.25" customHeight="1" x14ac:dyDescent="0.35"/>
    <row r="23" spans="1:2" ht="14.25" customHeight="1" x14ac:dyDescent="0.35"/>
    <row r="24" spans="1:2" ht="14.25" customHeight="1" x14ac:dyDescent="0.35"/>
    <row r="25" spans="1:2" ht="14.25" customHeight="1" x14ac:dyDescent="0.35"/>
    <row r="26" spans="1:2" ht="14.25" customHeight="1" x14ac:dyDescent="0.35"/>
    <row r="27" spans="1:2" ht="14.25" customHeight="1" x14ac:dyDescent="0.35"/>
    <row r="28" spans="1:2" ht="14.25" customHeight="1" x14ac:dyDescent="0.35"/>
    <row r="29" spans="1:2" ht="14.25" customHeight="1" x14ac:dyDescent="0.35"/>
    <row r="30" spans="1:2" ht="14.25" customHeight="1" x14ac:dyDescent="0.35"/>
    <row r="31" spans="1:2" ht="14.25" customHeight="1" x14ac:dyDescent="0.35"/>
    <row r="32" spans="1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2022-05-13T02:59:11Z</dcterms:created>
  <dcterms:modified xsi:type="dcterms:W3CDTF">2026-06-02T02:10:54Z</dcterms:modified>
</cp:coreProperties>
</file>