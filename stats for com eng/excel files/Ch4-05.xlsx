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drawings/drawing3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n/Desktop/joint-repository/stats for com eng/"/>
    </mc:Choice>
  </mc:AlternateContent>
  <xr:revisionPtr revIDLastSave="0" documentId="13_ncr:1_{0B500527-BD21-1948-8CF8-9130C925E45F}" xr6:coauthVersionLast="47" xr6:coauthVersionMax="47" xr10:uidLastSave="{00000000-0000-0000-0000-000000000000}"/>
  <bookViews>
    <workbookView xWindow="0" yWindow="600" windowWidth="24080" windowHeight="13240" activeTab="3" xr2:uid="{C748285C-19E1-4F2D-927D-6F526C53A5E8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4" l="1"/>
  <c r="C12" i="4"/>
  <c r="C11" i="4"/>
  <c r="C15" i="3"/>
  <c r="C12" i="3"/>
  <c r="C11" i="3"/>
  <c r="C5" i="3"/>
  <c r="C4" i="3"/>
  <c r="C3" i="3"/>
  <c r="B14" i="2"/>
  <c r="B11" i="2"/>
  <c r="B10" i="2"/>
  <c r="B9" i="2"/>
  <c r="B19" i="1"/>
  <c r="B18" i="1"/>
  <c r="B17" i="1"/>
  <c r="B14" i="1"/>
  <c r="B13" i="1"/>
  <c r="B12" i="1"/>
  <c r="B9" i="1"/>
  <c r="B8" i="1"/>
  <c r="B7" i="1"/>
  <c r="B4" i="1"/>
  <c r="B3" i="1"/>
  <c r="B2" i="1"/>
</calcChain>
</file>

<file path=xl/sharedStrings.xml><?xml version="1.0" encoding="utf-8"?>
<sst xmlns="http://schemas.openxmlformats.org/spreadsheetml/2006/main" count="101" uniqueCount="74">
  <si>
    <t>P(Z &gt; 1.90)</t>
  </si>
  <si>
    <t>P(Z &lt; -1.90)</t>
  </si>
  <si>
    <t>P(Z &lt; -1.90) + P(Z &gt; 1.90)</t>
  </si>
  <si>
    <r>
      <t>Alpha (</t>
    </r>
    <r>
      <rPr>
        <b/>
        <sz val="11"/>
        <color theme="1"/>
        <rFont val="Symbol"/>
        <family val="1"/>
        <charset val="2"/>
      </rPr>
      <t>a</t>
    </r>
    <r>
      <rPr>
        <b/>
        <sz val="11"/>
        <color theme="1"/>
        <rFont val="Calibri"/>
        <family val="2"/>
      </rPr>
      <t>)</t>
    </r>
  </si>
  <si>
    <r>
      <t>Beta (</t>
    </r>
    <r>
      <rPr>
        <b/>
        <sz val="11"/>
        <color theme="1"/>
        <rFont val="Symbol"/>
        <family val="1"/>
        <charset val="2"/>
      </rPr>
      <t>b</t>
    </r>
    <r>
      <rPr>
        <b/>
        <sz val="11"/>
        <color theme="1"/>
        <rFont val="Calibri"/>
        <family val="2"/>
      </rPr>
      <t>)</t>
    </r>
  </si>
  <si>
    <t>P(Z &lt;= -0.63)</t>
  </si>
  <si>
    <t>P(Z &lt;= -4.43)</t>
  </si>
  <si>
    <t>P(-4.43 &lt;= Z &lt;= -0.63)</t>
  </si>
  <si>
    <t>P(-2.53 &lt;= Z &lt;= 1.27)</t>
  </si>
  <si>
    <t>P(Z &lt;= 1.27)</t>
  </si>
  <si>
    <t>P(Z &lt;= -2.53)</t>
  </si>
  <si>
    <t>P(-5.60 &lt;= Z &lt;= -0.80)</t>
  </si>
  <si>
    <t>P(Z &lt;= -0.80)</t>
  </si>
  <si>
    <t>P(Z &lt;= -5.60)</t>
  </si>
  <si>
    <t>Parameter of Interest</t>
  </si>
  <si>
    <t>Null Hypothesis</t>
  </si>
  <si>
    <t>Alternative Hypothesis</t>
  </si>
  <si>
    <t>Reject Region</t>
  </si>
  <si>
    <t>Accept/Reject Null Hypothesis</t>
  </si>
  <si>
    <t>Burning Rate</t>
  </si>
  <si>
    <r>
      <t xml:space="preserve">H0: 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 xml:space="preserve"> = 50</t>
    </r>
  </si>
  <si>
    <r>
      <t xml:space="preserve">H1: 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Symbol"/>
        <family val="1"/>
        <charset val="2"/>
      </rPr>
      <t>¹</t>
    </r>
    <r>
      <rPr>
        <sz val="11"/>
        <color theme="1"/>
        <rFont val="Calibri"/>
        <family val="2"/>
        <scheme val="minor"/>
      </rPr>
      <t xml:space="preserve"> 50</t>
    </r>
  </si>
  <si>
    <r>
      <t>Popolation Mean (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 xml:space="preserve">) </t>
    </r>
  </si>
  <si>
    <r>
      <t>Significance Level (</t>
    </r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Calibri"/>
        <family val="2"/>
        <scheme val="minor"/>
      </rPr>
      <t>)</t>
    </r>
  </si>
  <si>
    <t>---&gt; n</t>
  </si>
  <si>
    <r>
      <t xml:space="preserve">---&gt; </t>
    </r>
    <r>
      <rPr>
        <sz val="11"/>
        <color theme="1"/>
        <rFont val="Symbol"/>
        <family val="1"/>
        <charset val="2"/>
      </rPr>
      <t>s</t>
    </r>
  </si>
  <si>
    <t>Test Statistic (Z0)</t>
  </si>
  <si>
    <r>
      <t xml:space="preserve">---&gt; </t>
    </r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Calibri"/>
        <family val="2"/>
      </rPr>
      <t>/2</t>
    </r>
  </si>
  <si>
    <r>
      <t>---&gt; Z(</t>
    </r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Calibri"/>
        <family val="2"/>
      </rPr>
      <t>/2)</t>
    </r>
  </si>
  <si>
    <t>P-value</t>
  </si>
  <si>
    <r>
      <t>Reject H0 if Z0 &lt; -Z(</t>
    </r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Calibri"/>
        <family val="2"/>
      </rPr>
      <t>/2)</t>
    </r>
    <r>
      <rPr>
        <sz val="11"/>
        <color theme="1"/>
        <rFont val="Calibri"/>
        <family val="2"/>
        <scheme val="minor"/>
      </rPr>
      <t xml:space="preserve"> or Z0 &gt; Z(</t>
    </r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Calibri"/>
        <family val="2"/>
        <scheme val="minor"/>
      </rPr>
      <t>/2)</t>
    </r>
  </si>
  <si>
    <r>
      <t xml:space="preserve">Reject H0 if P-value &lt; </t>
    </r>
    <r>
      <rPr>
        <sz val="11"/>
        <color theme="1"/>
        <rFont val="Symbol"/>
        <family val="1"/>
        <charset val="2"/>
      </rPr>
      <t>a</t>
    </r>
  </si>
  <si>
    <t>Golf Club Design</t>
  </si>
  <si>
    <t>The observations:</t>
  </si>
  <si>
    <t>Sample Mean</t>
  </si>
  <si>
    <t>Sample Standard Deviation (s)</t>
  </si>
  <si>
    <t>Sample Size (n)</t>
  </si>
  <si>
    <t>Test Statistic (t0)</t>
  </si>
  <si>
    <r>
      <t>t(</t>
    </r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Calibri"/>
        <family val="2"/>
      </rPr>
      <t>)</t>
    </r>
  </si>
  <si>
    <r>
      <t>Reject H0 if t0 &gt; t(</t>
    </r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Calibri"/>
        <family val="2"/>
        <scheme val="minor"/>
      </rPr>
      <t>)</t>
    </r>
  </si>
  <si>
    <t>High School - SAT Score</t>
  </si>
  <si>
    <r>
      <t>t(</t>
    </r>
    <r>
      <rPr>
        <sz val="11"/>
        <color theme="1"/>
        <rFont val="Symbol"/>
        <family val="1"/>
        <charset val="2"/>
      </rPr>
      <t>a/2</t>
    </r>
    <r>
      <rPr>
        <sz val="11"/>
        <color theme="1"/>
        <rFont val="Calibri"/>
        <family val="2"/>
      </rPr>
      <t>)</t>
    </r>
  </si>
  <si>
    <r>
      <t>Reject H0 if t0 &lt; -t(</t>
    </r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Calibri"/>
        <family val="2"/>
        <scheme val="minor"/>
      </rPr>
      <t>/2) or t0 &gt; t(</t>
    </r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Calibri"/>
        <family val="2"/>
      </rPr>
      <t>/2)</t>
    </r>
  </si>
  <si>
    <t>Left tail and right tail probability (of rejection) will occur here</t>
  </si>
  <si>
    <t>prob of reject H null when it is true</t>
  </si>
  <si>
    <t>hypothesis testing  = we have hypothesis and we want to find the probility of rejection of such value</t>
  </si>
  <si>
    <t>P(Type I error)</t>
  </si>
  <si>
    <t>Probability of fail to reject H null when H null is false</t>
  </si>
  <si>
    <t>H null is hypothesis</t>
  </si>
  <si>
    <r>
      <t>Beta (</t>
    </r>
    <r>
      <rPr>
        <b/>
        <sz val="11"/>
        <color theme="1"/>
        <rFont val="Symbol"/>
        <family val="1"/>
        <charset val="2"/>
      </rPr>
      <t>b</t>
    </r>
    <r>
      <rPr>
        <b/>
        <sz val="11"/>
        <color theme="1"/>
        <rFont val="Calibri"/>
        <family val="2"/>
      </rPr>
      <t>) Type II error</t>
    </r>
  </si>
  <si>
    <t>H0 = mu=50, actual mu = 52</t>
  </si>
  <si>
    <t>mu and actual mu are equal</t>
  </si>
  <si>
    <t>actual mu = 50.5, n = 10</t>
  </si>
  <si>
    <t>actual mu = 52, n = 16</t>
  </si>
  <si>
    <t>page 71 statistical interference</t>
  </si>
  <si>
    <t>---&gt; sample mean (X bar)</t>
  </si>
  <si>
    <t>reject</t>
  </si>
  <si>
    <t>We have strong evidence to reject H0, and accept H1.</t>
  </si>
  <si>
    <t>That means the mean of burning rate is not be 50 cm/sec at significant level 0.05</t>
  </si>
  <si>
    <t>Cumulative distribution function to 3.25</t>
  </si>
  <si>
    <t>varies based on tail considered, slide 74, stats interference</t>
  </si>
  <si>
    <r>
      <t xml:space="preserve">H0: 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 xml:space="preserve"> = 0.82</t>
    </r>
  </si>
  <si>
    <r>
      <t xml:space="preserve">H1: 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 xml:space="preserve"> &gt; 0.82</t>
    </r>
  </si>
  <si>
    <t>one tail, mean is 0.83, so hypothesis we assume it is MORE than mean</t>
  </si>
  <si>
    <t>=1-T.DIST(C11, C5-1, TRUE)</t>
  </si>
  <si>
    <t>=T.INV(1-C10, C5-1)</t>
  </si>
  <si>
    <t>=(C3-0.82)/(C4/SQRT(C5))</t>
  </si>
  <si>
    <r>
      <t xml:space="preserve">H0: 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 xml:space="preserve"> = 500</t>
    </r>
  </si>
  <si>
    <t>accept</t>
  </si>
  <si>
    <r>
      <t xml:space="preserve">H1: 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 xml:space="preserve"> != 500</t>
    </r>
  </si>
  <si>
    <t>t.dist</t>
  </si>
  <si>
    <t>t.inv</t>
  </si>
  <si>
    <t>We have strong evidence to accept H0, and reject H1.</t>
  </si>
  <si>
    <t>That means the mean of SAT score is  500 at significant level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</si>
</sst>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  <font>
      <b/>
      <sz val="11"/>
      <color theme="1"/>
      <name val="Symbol"/>
      <family val="1"/>
      <charset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sz val="8"/>
      <color rgb="FF000000"/>
      <name val="Segoe UI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164" fontId="0" fillId="2" borderId="1" xfId="0" applyNumberFormat="1" applyFill="1" applyBorder="1"/>
    <xf numFmtId="0" fontId="6" fillId="0" borderId="0" xfId="0" applyFont="1"/>
    <xf numFmtId="0" fontId="0" fillId="0" borderId="0" xfId="0" quotePrefix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2" borderId="1" xfId="0" applyFill="1" applyBorder="1" applyAlignment="1">
      <alignment horizontal="left"/>
    </xf>
    <xf numFmtId="164" fontId="6" fillId="0" borderId="0" xfId="0" applyNumberFormat="1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0" fillId="0" borderId="1" xfId="0" applyBorder="1" applyAlignment="1">
      <alignment vertical="center"/>
    </xf>
    <xf numFmtId="165" fontId="0" fillId="2" borderId="1" xfId="0" applyNumberFormat="1" applyFill="1" applyBorder="1" applyAlignment="1">
      <alignment horizontal="left" vertical="center"/>
    </xf>
    <xf numFmtId="1" fontId="0" fillId="2" borderId="1" xfId="0" applyNumberFormat="1" applyFill="1" applyBorder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quotePrefix="1" applyBorder="1" applyAlignment="1">
      <alignment vertical="center"/>
    </xf>
    <xf numFmtId="164" fontId="0" fillId="3" borderId="1" xfId="0" applyNumberFormat="1" applyFill="1" applyBorder="1" applyAlignment="1">
      <alignment horizontal="left" vertical="center"/>
    </xf>
    <xf numFmtId="164" fontId="0" fillId="2" borderId="1" xfId="0" applyNumberForma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64" fontId="0" fillId="0" borderId="0" xfId="0" quotePrefix="1" applyNumberFormat="1" applyAlignment="1">
      <alignment horizontal="left"/>
    </xf>
    <xf numFmtId="0" fontId="0" fillId="0" borderId="0" xfId="0" quotePrefix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Radio" firstButton="1" lockText="1" noThreeD="1"/>
</file>

<file path=xl/ctrlProps/ctrlProp2.xml><?xml version="1.0" encoding="utf-8"?>
<formControlPr xmlns="http://schemas.microsoft.com/office/spreadsheetml/2009/9/main" objectType="Radio" checked="Checked" lockText="1" noThreeD="1"/>
</file>

<file path=xl/ctrlProps/ctrlProp3.xml><?xml version="1.0" encoding="utf-8"?>
<formControlPr xmlns="http://schemas.microsoft.com/office/spreadsheetml/2009/9/main" objectType="Radio" firstButton="1" lockText="1" noThreeD="1"/>
</file>

<file path=xl/ctrlProps/ctrlProp4.xml><?xml version="1.0" encoding="utf-8"?>
<formControlPr xmlns="http://schemas.microsoft.com/office/spreadsheetml/2009/9/main" objectType="Radio" checked="Checked" lockText="1" noThreeD="1"/>
</file>

<file path=xl/ctrlProps/ctrlProp5.xml><?xml version="1.0" encoding="utf-8"?>
<formControlPr xmlns="http://schemas.microsoft.com/office/spreadsheetml/2009/9/main" objectType="Radio" checked="Checked" firstButton="1" lockText="1" noThreeD="1"/>
</file>

<file path=xl/ctrlProps/ctrlProp6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</xdr:colOff>
          <xdr:row>15</xdr:row>
          <xdr:rowOff>25400</xdr:rowOff>
        </xdr:from>
        <xdr:to>
          <xdr:col>1</xdr:col>
          <xdr:colOff>965200</xdr:colOff>
          <xdr:row>16</xdr:row>
          <xdr:rowOff>0</xdr:rowOff>
        </xdr:to>
        <xdr:sp macro="" textlink="">
          <xdr:nvSpPr>
            <xdr:cNvPr id="2050" name="Option 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Accept H0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</xdr:colOff>
          <xdr:row>16</xdr:row>
          <xdr:rowOff>25400</xdr:rowOff>
        </xdr:from>
        <xdr:to>
          <xdr:col>1</xdr:col>
          <xdr:colOff>939800</xdr:colOff>
          <xdr:row>17</xdr:row>
          <xdr:rowOff>0</xdr:rowOff>
        </xdr:to>
        <xdr:sp macro="" textlink="">
          <xdr:nvSpPr>
            <xdr:cNvPr id="2051" name="Option Butto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Reject H0</a:t>
              </a:r>
            </a:p>
          </xdr:txBody>
        </xdr:sp>
        <xdr:clientData/>
      </xdr:twoCellAnchor>
    </mc:Choice>
    <mc:Fallback/>
  </mc:AlternateContent>
  <xdr:twoCellAnchor editAs="oneCell">
    <xdr:from>
      <xdr:col>2</xdr:col>
      <xdr:colOff>25400</xdr:colOff>
      <xdr:row>7</xdr:row>
      <xdr:rowOff>19050</xdr:rowOff>
    </xdr:from>
    <xdr:to>
      <xdr:col>2</xdr:col>
      <xdr:colOff>1133475</xdr:colOff>
      <xdr:row>8</xdr:row>
      <xdr:rowOff>245674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1650" y="1819275"/>
          <a:ext cx="1104900" cy="483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47624</xdr:colOff>
      <xdr:row>13</xdr:row>
      <xdr:rowOff>28780</xdr:rowOff>
    </xdr:from>
    <xdr:to>
      <xdr:col>2</xdr:col>
      <xdr:colOff>1714500</xdr:colOff>
      <xdr:row>14</xdr:row>
      <xdr:rowOff>28575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0574" y="3372055"/>
          <a:ext cx="1666876" cy="253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12700</xdr:colOff>
          <xdr:row>16</xdr:row>
          <xdr:rowOff>25400</xdr:rowOff>
        </xdr:from>
        <xdr:to>
          <xdr:col>2</xdr:col>
          <xdr:colOff>965200</xdr:colOff>
          <xdr:row>16</xdr:row>
          <xdr:rowOff>254000</xdr:rowOff>
        </xdr:to>
        <xdr:sp macro="" textlink="">
          <xdr:nvSpPr>
            <xdr:cNvPr id="3073" name="Option 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Accept H0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12700</xdr:colOff>
          <xdr:row>17</xdr:row>
          <xdr:rowOff>25400</xdr:rowOff>
        </xdr:from>
        <xdr:to>
          <xdr:col>2</xdr:col>
          <xdr:colOff>939800</xdr:colOff>
          <xdr:row>17</xdr:row>
          <xdr:rowOff>254000</xdr:rowOff>
        </xdr:to>
        <xdr:sp macro="" textlink="">
          <xdr:nvSpPr>
            <xdr:cNvPr id="3074" name="Option Button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Reject H0</a:t>
              </a:r>
            </a:p>
          </xdr:txBody>
        </xdr:sp>
        <xdr:clientData/>
      </xdr:twoCellAnchor>
    </mc:Choice>
    <mc:Fallback/>
  </mc:AlternateContent>
  <xdr:twoCellAnchor editAs="oneCell">
    <xdr:from>
      <xdr:col>3</xdr:col>
      <xdr:colOff>41274</xdr:colOff>
      <xdr:row>7</xdr:row>
      <xdr:rowOff>120650</xdr:rowOff>
    </xdr:from>
    <xdr:to>
      <xdr:col>3</xdr:col>
      <xdr:colOff>1315507</xdr:colOff>
      <xdr:row>9</xdr:row>
      <xdr:rowOff>130175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E9DE681-21FA-490C-8B6D-DE0F73D99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3374" y="1898650"/>
          <a:ext cx="1274233" cy="52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12700</xdr:colOff>
          <xdr:row>16</xdr:row>
          <xdr:rowOff>25400</xdr:rowOff>
        </xdr:from>
        <xdr:to>
          <xdr:col>2</xdr:col>
          <xdr:colOff>965200</xdr:colOff>
          <xdr:row>17</xdr:row>
          <xdr:rowOff>0</xdr:rowOff>
        </xdr:to>
        <xdr:sp macro="" textlink="">
          <xdr:nvSpPr>
            <xdr:cNvPr id="4097" name="Option Butto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Accept H0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12700</xdr:colOff>
          <xdr:row>17</xdr:row>
          <xdr:rowOff>25400</xdr:rowOff>
        </xdr:from>
        <xdr:to>
          <xdr:col>2</xdr:col>
          <xdr:colOff>939800</xdr:colOff>
          <xdr:row>18</xdr:row>
          <xdr:rowOff>1186</xdr:rowOff>
        </xdr:to>
        <xdr:sp macro="" textlink="">
          <xdr:nvSpPr>
            <xdr:cNvPr id="4098" name="Option Button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Reject H0</a:t>
              </a:r>
            </a:p>
          </xdr:txBody>
        </xdr:sp>
        <xdr:clientData/>
      </xdr:twoCellAnchor>
    </mc:Choice>
    <mc:Fallback/>
  </mc:AlternateContent>
  <xdr:twoCellAnchor editAs="oneCell">
    <xdr:from>
      <xdr:col>3</xdr:col>
      <xdr:colOff>41274</xdr:colOff>
      <xdr:row>7</xdr:row>
      <xdr:rowOff>120650</xdr:rowOff>
    </xdr:from>
    <xdr:to>
      <xdr:col>3</xdr:col>
      <xdr:colOff>1315507</xdr:colOff>
      <xdr:row>9</xdr:row>
      <xdr:rowOff>130175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ED10DBB-4FB9-4E3B-9CF8-9303B6203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4874" y="1898650"/>
          <a:ext cx="1274233" cy="52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6B221-DE7D-4BCC-9FC8-7D63194B69CD}">
  <dimension ref="A1:E19"/>
  <sheetViews>
    <sheetView topLeftCell="A15" zoomScale="200" zoomScaleNormal="100" workbookViewId="0">
      <selection activeCell="B20" sqref="B20"/>
    </sheetView>
  </sheetViews>
  <sheetFormatPr baseColWidth="10" defaultColWidth="10.6640625" defaultRowHeight="15" x14ac:dyDescent="0.2"/>
  <cols>
    <col min="1" max="1" width="20.6640625" customWidth="1"/>
    <col min="2" max="2" width="11.83203125" style="2" bestFit="1" customWidth="1"/>
  </cols>
  <sheetData>
    <row r="1" spans="1:5" x14ac:dyDescent="0.2">
      <c r="A1" s="1" t="s">
        <v>3</v>
      </c>
      <c r="B1" s="2" t="s">
        <v>51</v>
      </c>
    </row>
    <row r="2" spans="1:5" x14ac:dyDescent="0.2">
      <c r="A2" s="3" t="s">
        <v>1</v>
      </c>
      <c r="B2" s="4">
        <f>_xlfn.NORM.S.DIST(-1.9, TRUE)</f>
        <v>2.87165598160018E-2</v>
      </c>
      <c r="D2" t="s">
        <v>45</v>
      </c>
    </row>
    <row r="3" spans="1:5" x14ac:dyDescent="0.2">
      <c r="A3" s="3" t="s">
        <v>0</v>
      </c>
      <c r="B3" s="4">
        <f>1-_xlfn.NORM.S.DIST(1.9, TRUE)</f>
        <v>2.8716559816001852E-2</v>
      </c>
    </row>
    <row r="4" spans="1:5" x14ac:dyDescent="0.2">
      <c r="A4" s="3" t="s">
        <v>2</v>
      </c>
      <c r="B4" s="5">
        <f>B2+B3</f>
        <v>5.7433119632003649E-2</v>
      </c>
      <c r="C4" t="s">
        <v>46</v>
      </c>
      <c r="D4" t="s">
        <v>43</v>
      </c>
    </row>
    <row r="5" spans="1:5" x14ac:dyDescent="0.2">
      <c r="D5" t="s">
        <v>44</v>
      </c>
    </row>
    <row r="6" spans="1:5" x14ac:dyDescent="0.2">
      <c r="A6" s="1" t="s">
        <v>49</v>
      </c>
      <c r="B6" s="2" t="s">
        <v>47</v>
      </c>
      <c r="C6" t="s">
        <v>50</v>
      </c>
    </row>
    <row r="7" spans="1:5" x14ac:dyDescent="0.2">
      <c r="A7" s="3" t="s">
        <v>5</v>
      </c>
      <c r="B7" s="4">
        <f>_xlfn.NORM.S.DIST(-0.63, TRUE)</f>
        <v>0.26434729211567748</v>
      </c>
      <c r="E7" t="s">
        <v>48</v>
      </c>
    </row>
    <row r="8" spans="1:5" x14ac:dyDescent="0.2">
      <c r="A8" s="3" t="s">
        <v>6</v>
      </c>
      <c r="B8" s="4">
        <f>_xlfn.NORM.S.DIST(-4.43, TRUE)</f>
        <v>4.7116544118972307E-6</v>
      </c>
    </row>
    <row r="9" spans="1:5" x14ac:dyDescent="0.2">
      <c r="A9" s="3" t="s">
        <v>7</v>
      </c>
      <c r="B9" s="5">
        <f>B7-B8</f>
        <v>0.26434258046126557</v>
      </c>
    </row>
    <row r="11" spans="1:5" x14ac:dyDescent="0.2">
      <c r="A11" s="1" t="s">
        <v>4</v>
      </c>
      <c r="B11" s="2" t="s">
        <v>52</v>
      </c>
    </row>
    <row r="12" spans="1:5" x14ac:dyDescent="0.2">
      <c r="A12" s="3" t="s">
        <v>9</v>
      </c>
      <c r="B12" s="4">
        <f>_xlfn.NORM.S.DIST(1.27, TRUE)</f>
        <v>0.89795768492518091</v>
      </c>
    </row>
    <row r="13" spans="1:5" x14ac:dyDescent="0.2">
      <c r="A13" s="3" t="s">
        <v>10</v>
      </c>
      <c r="B13" s="4">
        <f>_xlfn.NORM.S.DIST(-2.53, TRUE)</f>
        <v>5.7031263329506993E-3</v>
      </c>
    </row>
    <row r="14" spans="1:5" x14ac:dyDescent="0.2">
      <c r="A14" s="3" t="s">
        <v>8</v>
      </c>
      <c r="B14" s="5">
        <f>B12-B13</f>
        <v>0.89225455859223024</v>
      </c>
    </row>
    <row r="16" spans="1:5" x14ac:dyDescent="0.2">
      <c r="A16" s="1" t="s">
        <v>4</v>
      </c>
      <c r="B16" s="2" t="s">
        <v>53</v>
      </c>
    </row>
    <row r="17" spans="1:2" x14ac:dyDescent="0.2">
      <c r="A17" s="3" t="s">
        <v>12</v>
      </c>
      <c r="B17" s="4">
        <f>_xlfn.NORM.S.DIST(-0.8, TRUE)</f>
        <v>0.21185539858339661</v>
      </c>
    </row>
    <row r="18" spans="1:2" x14ac:dyDescent="0.2">
      <c r="A18" s="3" t="s">
        <v>13</v>
      </c>
      <c r="B18" s="4">
        <f>_xlfn.NORM.S.DIST(-5.6, TRUE)</f>
        <v>1.0717590258310892E-8</v>
      </c>
    </row>
    <row r="19" spans="1:2" x14ac:dyDescent="0.2">
      <c r="A19" s="3" t="s">
        <v>11</v>
      </c>
      <c r="B19" s="5">
        <f>B17-B18</f>
        <v>0.21185538786580635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E2AEE-E0A8-43D1-B1BA-2DE96725CAC7}">
  <dimension ref="A1:D19"/>
  <sheetViews>
    <sheetView topLeftCell="A14" zoomScale="111" zoomScaleNormal="100" workbookViewId="0">
      <selection activeCell="A18" sqref="A18:B19"/>
    </sheetView>
  </sheetViews>
  <sheetFormatPr baseColWidth="10" defaultColWidth="8.6640625" defaultRowHeight="20" customHeight="1" x14ac:dyDescent="0.2"/>
  <cols>
    <col min="1" max="1" width="32.6640625" customWidth="1"/>
    <col min="2" max="2" width="32.6640625" style="8" customWidth="1"/>
    <col min="3" max="3" width="32.6640625" customWidth="1"/>
  </cols>
  <sheetData>
    <row r="1" spans="1:4" ht="20" customHeight="1" x14ac:dyDescent="0.2">
      <c r="A1" s="6" t="s">
        <v>19</v>
      </c>
    </row>
    <row r="2" spans="1:4" ht="20" customHeight="1" x14ac:dyDescent="0.2">
      <c r="A2" t="s">
        <v>14</v>
      </c>
      <c r="B2" s="8" t="s">
        <v>22</v>
      </c>
      <c r="C2" t="s">
        <v>54</v>
      </c>
    </row>
    <row r="3" spans="1:4" ht="20" customHeight="1" x14ac:dyDescent="0.2">
      <c r="A3" t="s">
        <v>15</v>
      </c>
      <c r="B3" s="8" t="s">
        <v>20</v>
      </c>
    </row>
    <row r="4" spans="1:4" ht="20" customHeight="1" x14ac:dyDescent="0.2">
      <c r="A4" t="s">
        <v>16</v>
      </c>
      <c r="B4" s="8" t="s">
        <v>21</v>
      </c>
    </row>
    <row r="5" spans="1:4" ht="20" customHeight="1" x14ac:dyDescent="0.2">
      <c r="A5" t="s">
        <v>23</v>
      </c>
      <c r="B5" s="8">
        <v>0.05</v>
      </c>
    </row>
    <row r="6" spans="1:4" ht="20" customHeight="1" x14ac:dyDescent="0.2">
      <c r="A6" s="7" t="s">
        <v>24</v>
      </c>
      <c r="B6" s="8">
        <v>25</v>
      </c>
    </row>
    <row r="7" spans="1:4" ht="20" customHeight="1" x14ac:dyDescent="0.2">
      <c r="A7" s="7" t="s">
        <v>25</v>
      </c>
      <c r="B7" s="8">
        <v>2</v>
      </c>
    </row>
    <row r="8" spans="1:4" ht="20" customHeight="1" x14ac:dyDescent="0.2">
      <c r="A8" s="7" t="s">
        <v>55</v>
      </c>
      <c r="B8" s="8">
        <v>51.3</v>
      </c>
    </row>
    <row r="9" spans="1:4" ht="20" customHeight="1" x14ac:dyDescent="0.2">
      <c r="A9" t="s">
        <v>26</v>
      </c>
      <c r="B9" s="10">
        <f>(51.3-50)/(2/SQRT(25))</f>
        <v>3.2499999999999929</v>
      </c>
    </row>
    <row r="10" spans="1:4" ht="20" customHeight="1" x14ac:dyDescent="0.2">
      <c r="A10" s="7" t="s">
        <v>27</v>
      </c>
      <c r="B10" s="8">
        <f>B5/2</f>
        <v>2.5000000000000001E-2</v>
      </c>
    </row>
    <row r="11" spans="1:4" ht="20" customHeight="1" x14ac:dyDescent="0.2">
      <c r="A11" s="7" t="s">
        <v>28</v>
      </c>
      <c r="B11" s="9">
        <f>_xlfn.NORM.S.INV(0.975)</f>
        <v>1.9599639845400536</v>
      </c>
    </row>
    <row r="12" spans="1:4" ht="20" customHeight="1" x14ac:dyDescent="0.2">
      <c r="A12" t="s">
        <v>17</v>
      </c>
      <c r="B12" s="8" t="s">
        <v>30</v>
      </c>
      <c r="C12" s="8" t="s">
        <v>56</v>
      </c>
    </row>
    <row r="13" spans="1:4" ht="20" customHeight="1" x14ac:dyDescent="0.2">
      <c r="B13" t="s">
        <v>31</v>
      </c>
      <c r="C13" t="s">
        <v>56</v>
      </c>
    </row>
    <row r="14" spans="1:4" ht="20" customHeight="1" x14ac:dyDescent="0.2">
      <c r="A14" t="s">
        <v>29</v>
      </c>
      <c r="B14" s="25">
        <f>2*(1-_xlfn.NORM.S.DIST(B9, TRUE))</f>
        <v>1.1540500847815327E-3</v>
      </c>
      <c r="D14" t="s">
        <v>60</v>
      </c>
    </row>
    <row r="15" spans="1:4" ht="20" customHeight="1" x14ac:dyDescent="0.2">
      <c r="B15" s="9"/>
      <c r="C15" t="s">
        <v>59</v>
      </c>
    </row>
    <row r="16" spans="1:4" ht="20" customHeight="1" x14ac:dyDescent="0.2">
      <c r="A16" t="s">
        <v>18</v>
      </c>
    </row>
    <row r="18" spans="1:1" ht="20" customHeight="1" x14ac:dyDescent="0.2">
      <c r="A18" t="s">
        <v>57</v>
      </c>
    </row>
    <row r="19" spans="1:1" ht="20" customHeight="1" x14ac:dyDescent="0.2">
      <c r="A19" t="s">
        <v>58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3" name="Option Button 2">
              <controlPr defaultSize="0" autoFill="0" autoLine="0" autoPict="0">
                <anchor moveWithCells="1">
                  <from>
                    <xdr:col>1</xdr:col>
                    <xdr:colOff>12700</xdr:colOff>
                    <xdr:row>15</xdr:row>
                    <xdr:rowOff>25400</xdr:rowOff>
                  </from>
                  <to>
                    <xdr:col>1</xdr:col>
                    <xdr:colOff>965200</xdr:colOff>
                    <xdr:row>15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4" name="Option Button 3">
              <controlPr defaultSize="0" autoFill="0" autoLine="0" autoPict="0">
                <anchor moveWithCells="1">
                  <from>
                    <xdr:col>1</xdr:col>
                    <xdr:colOff>12700</xdr:colOff>
                    <xdr:row>16</xdr:row>
                    <xdr:rowOff>25400</xdr:rowOff>
                  </from>
                  <to>
                    <xdr:col>1</xdr:col>
                    <xdr:colOff>939800</xdr:colOff>
                    <xdr:row>16</xdr:row>
                    <xdr:rowOff>254000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775D8-508D-4202-BCB1-2E0E65629357}">
  <dimension ref="A1:E17"/>
  <sheetViews>
    <sheetView topLeftCell="A15" zoomScale="179" workbookViewId="0">
      <selection activeCell="B20" sqref="B20"/>
    </sheetView>
  </sheetViews>
  <sheetFormatPr baseColWidth="10" defaultColWidth="8.6640625" defaultRowHeight="20" customHeight="1" x14ac:dyDescent="0.2"/>
  <cols>
    <col min="1" max="1" width="20.6640625" style="14" customWidth="1"/>
    <col min="2" max="2" width="30.6640625" style="12" customWidth="1"/>
    <col min="3" max="3" width="25.6640625" style="13" customWidth="1"/>
    <col min="4" max="4" width="25.6640625" style="12" customWidth="1"/>
    <col min="5" max="16384" width="8.6640625" style="12"/>
  </cols>
  <sheetData>
    <row r="1" spans="1:5" ht="20" customHeight="1" x14ac:dyDescent="0.2">
      <c r="A1" s="11" t="s">
        <v>32</v>
      </c>
    </row>
    <row r="2" spans="1:5" ht="20" customHeight="1" x14ac:dyDescent="0.2">
      <c r="A2" s="14" t="s">
        <v>33</v>
      </c>
    </row>
    <row r="3" spans="1:5" ht="20" customHeight="1" x14ac:dyDescent="0.2">
      <c r="A3" s="14">
        <v>0.84109999999999996</v>
      </c>
      <c r="B3" s="15" t="s">
        <v>34</v>
      </c>
      <c r="C3" s="16">
        <f>AVERAGE(A3:A17)</f>
        <v>0.83723999999999998</v>
      </c>
    </row>
    <row r="4" spans="1:5" ht="20" customHeight="1" x14ac:dyDescent="0.2">
      <c r="A4" s="14">
        <v>0.81910000000000005</v>
      </c>
      <c r="B4" s="15" t="s">
        <v>35</v>
      </c>
      <c r="C4" s="16">
        <f>_xlfn.STDEV.S(A3:A17)</f>
        <v>2.4557099642611345E-2</v>
      </c>
    </row>
    <row r="5" spans="1:5" ht="20" customHeight="1" x14ac:dyDescent="0.2">
      <c r="A5" s="14">
        <v>0.81820000000000004</v>
      </c>
      <c r="B5" s="15" t="s">
        <v>36</v>
      </c>
      <c r="C5" s="17">
        <f>COUNT(A3:A17)</f>
        <v>15</v>
      </c>
    </row>
    <row r="6" spans="1:5" ht="20" customHeight="1" x14ac:dyDescent="0.2">
      <c r="A6" s="14">
        <v>0.8125</v>
      </c>
      <c r="C6" s="18"/>
    </row>
    <row r="7" spans="1:5" ht="20" customHeight="1" x14ac:dyDescent="0.2">
      <c r="A7" s="14">
        <v>0.875</v>
      </c>
      <c r="B7" s="15" t="s">
        <v>14</v>
      </c>
      <c r="C7" s="19" t="s">
        <v>22</v>
      </c>
    </row>
    <row r="8" spans="1:5" ht="20" customHeight="1" x14ac:dyDescent="0.2">
      <c r="A8" s="14">
        <v>0.85799999999999998</v>
      </c>
      <c r="B8" s="15" t="s">
        <v>15</v>
      </c>
      <c r="C8" s="19" t="s">
        <v>61</v>
      </c>
    </row>
    <row r="9" spans="1:5" ht="20" customHeight="1" x14ac:dyDescent="0.2">
      <c r="A9" s="14">
        <v>0.85319999999999996</v>
      </c>
      <c r="B9" s="15" t="s">
        <v>16</v>
      </c>
      <c r="C9" s="19" t="s">
        <v>62</v>
      </c>
      <c r="E9" s="12" t="s">
        <v>63</v>
      </c>
    </row>
    <row r="10" spans="1:5" ht="20" customHeight="1" x14ac:dyDescent="0.2">
      <c r="A10" s="14">
        <v>0.84830000000000005</v>
      </c>
      <c r="B10" s="15" t="s">
        <v>23</v>
      </c>
      <c r="C10" s="19">
        <v>0.05</v>
      </c>
    </row>
    <row r="11" spans="1:5" ht="20" customHeight="1" x14ac:dyDescent="0.2">
      <c r="A11" s="14">
        <v>0.8276</v>
      </c>
      <c r="B11" s="15" t="s">
        <v>37</v>
      </c>
      <c r="C11" s="16">
        <f>(C3-0.82)/(C4/SQRT(C5))</f>
        <v>2.7189787825251419</v>
      </c>
      <c r="D11" s="26" t="s">
        <v>66</v>
      </c>
    </row>
    <row r="12" spans="1:5" ht="20" customHeight="1" x14ac:dyDescent="0.2">
      <c r="A12" s="14">
        <v>0.79830000000000001</v>
      </c>
      <c r="B12" s="20" t="s">
        <v>38</v>
      </c>
      <c r="C12" s="21">
        <f>_xlfn.T.INV(1-C10, C5-1)</f>
        <v>1.7613101357748921</v>
      </c>
      <c r="D12" s="26" t="s">
        <v>65</v>
      </c>
    </row>
    <row r="13" spans="1:5" ht="20" customHeight="1" x14ac:dyDescent="0.2">
      <c r="A13" s="14">
        <v>0.80420000000000003</v>
      </c>
      <c r="B13" s="23" t="s">
        <v>17</v>
      </c>
      <c r="C13" s="19" t="s">
        <v>39</v>
      </c>
      <c r="D13" s="13" t="s">
        <v>56</v>
      </c>
    </row>
    <row r="14" spans="1:5" ht="20" customHeight="1" x14ac:dyDescent="0.2">
      <c r="A14" s="14">
        <v>0.873</v>
      </c>
      <c r="B14" s="24"/>
      <c r="C14" s="15" t="s">
        <v>31</v>
      </c>
      <c r="D14" s="12" t="s">
        <v>56</v>
      </c>
    </row>
    <row r="15" spans="1:5" ht="20" customHeight="1" x14ac:dyDescent="0.2">
      <c r="A15" s="14">
        <v>0.82820000000000005</v>
      </c>
      <c r="B15" s="15" t="s">
        <v>29</v>
      </c>
      <c r="C15" s="21">
        <f>1-_xlfn.T.DIST(C11, C5-1, TRUE)</f>
        <v>8.3133686815108909E-3</v>
      </c>
      <c r="D15" s="26" t="s">
        <v>64</v>
      </c>
    </row>
    <row r="16" spans="1:5" ht="20" customHeight="1" x14ac:dyDescent="0.2">
      <c r="A16" s="14">
        <v>0.83589999999999998</v>
      </c>
      <c r="C16" s="14"/>
    </row>
    <row r="17" spans="1:2" ht="20" customHeight="1" x14ac:dyDescent="0.2">
      <c r="A17" s="14">
        <v>0.86599999999999999</v>
      </c>
      <c r="B17" s="12" t="s">
        <v>18</v>
      </c>
    </row>
  </sheetData>
  <mergeCells count="1">
    <mergeCell ref="B13:B14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Option Button 1">
              <controlPr defaultSize="0" autoFill="0" autoLine="0" autoPict="0">
                <anchor moveWithCells="1">
                  <from>
                    <xdr:col>2</xdr:col>
                    <xdr:colOff>12700</xdr:colOff>
                    <xdr:row>16</xdr:row>
                    <xdr:rowOff>25400</xdr:rowOff>
                  </from>
                  <to>
                    <xdr:col>2</xdr:col>
                    <xdr:colOff>965200</xdr:colOff>
                    <xdr:row>16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Option Button 2">
              <controlPr defaultSize="0" autoFill="0" autoLine="0" autoPict="0">
                <anchor moveWithCells="1">
                  <from>
                    <xdr:col>2</xdr:col>
                    <xdr:colOff>12700</xdr:colOff>
                    <xdr:row>17</xdr:row>
                    <xdr:rowOff>25400</xdr:rowOff>
                  </from>
                  <to>
                    <xdr:col>2</xdr:col>
                    <xdr:colOff>939800</xdr:colOff>
                    <xdr:row>17</xdr:row>
                    <xdr:rowOff>254000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11E96-8D00-4531-A440-8667193B6527}">
  <dimension ref="A1:D20"/>
  <sheetViews>
    <sheetView tabSelected="1" topLeftCell="A13" zoomScale="173" workbookViewId="0">
      <selection activeCell="B21" sqref="B21"/>
    </sheetView>
  </sheetViews>
  <sheetFormatPr baseColWidth="10" defaultColWidth="8.6640625" defaultRowHeight="20" customHeight="1" x14ac:dyDescent="0.2"/>
  <cols>
    <col min="1" max="1" width="5.6640625" style="14" customWidth="1"/>
    <col min="2" max="2" width="28.6640625" style="12" customWidth="1"/>
    <col min="3" max="3" width="32.6640625" style="13" customWidth="1"/>
    <col min="4" max="4" width="25.6640625" style="12" customWidth="1"/>
    <col min="5" max="16384" width="8.6640625" style="12"/>
  </cols>
  <sheetData>
    <row r="1" spans="1:4" ht="20" customHeight="1" x14ac:dyDescent="0.2">
      <c r="A1" s="11" t="s">
        <v>40</v>
      </c>
    </row>
    <row r="2" spans="1:4" ht="20" customHeight="1" x14ac:dyDescent="0.2">
      <c r="A2" s="12"/>
    </row>
    <row r="3" spans="1:4" ht="20" customHeight="1" x14ac:dyDescent="0.2">
      <c r="A3" s="12"/>
      <c r="B3" s="15" t="s">
        <v>34</v>
      </c>
      <c r="C3" s="17">
        <v>510</v>
      </c>
    </row>
    <row r="4" spans="1:4" ht="20" customHeight="1" x14ac:dyDescent="0.2">
      <c r="A4" s="12"/>
      <c r="B4" s="15" t="s">
        <v>36</v>
      </c>
      <c r="C4" s="17">
        <v>18</v>
      </c>
    </row>
    <row r="5" spans="1:4" ht="20" customHeight="1" x14ac:dyDescent="0.2">
      <c r="A5" s="12"/>
      <c r="B5" s="15" t="s">
        <v>35</v>
      </c>
      <c r="C5" s="17">
        <v>140</v>
      </c>
    </row>
    <row r="6" spans="1:4" ht="20" customHeight="1" x14ac:dyDescent="0.2">
      <c r="A6" s="12"/>
      <c r="C6" s="12"/>
    </row>
    <row r="7" spans="1:4" ht="20" customHeight="1" x14ac:dyDescent="0.2">
      <c r="A7" s="12"/>
      <c r="B7" s="15" t="s">
        <v>14</v>
      </c>
      <c r="C7" s="19" t="s">
        <v>22</v>
      </c>
    </row>
    <row r="8" spans="1:4" ht="20" customHeight="1" x14ac:dyDescent="0.2">
      <c r="A8" s="12"/>
      <c r="B8" s="15" t="s">
        <v>15</v>
      </c>
      <c r="C8" s="19" t="s">
        <v>67</v>
      </c>
    </row>
    <row r="9" spans="1:4" ht="20" customHeight="1" x14ac:dyDescent="0.2">
      <c r="A9" s="12"/>
      <c r="B9" s="15" t="s">
        <v>16</v>
      </c>
      <c r="C9" s="19" t="s">
        <v>69</v>
      </c>
    </row>
    <row r="10" spans="1:4" ht="20" customHeight="1" x14ac:dyDescent="0.2">
      <c r="A10" s="12"/>
      <c r="B10" s="15" t="s">
        <v>23</v>
      </c>
      <c r="C10" s="19">
        <v>0.01</v>
      </c>
    </row>
    <row r="11" spans="1:4" ht="20" customHeight="1" x14ac:dyDescent="0.2">
      <c r="A11" s="12"/>
      <c r="B11" s="15" t="s">
        <v>37</v>
      </c>
      <c r="C11" s="22">
        <f>(C3-500)/(C5/SQRT(C4))</f>
        <v>0.30304576336566319</v>
      </c>
    </row>
    <row r="12" spans="1:4" ht="20" customHeight="1" x14ac:dyDescent="0.2">
      <c r="A12" s="12"/>
      <c r="B12" s="20" t="s">
        <v>41</v>
      </c>
      <c r="C12" s="21">
        <f>_xlfn.T.INV(1-0.01/2, C4-1)</f>
        <v>2.8982305196774178</v>
      </c>
      <c r="D12" s="12" t="s">
        <v>71</v>
      </c>
    </row>
    <row r="13" spans="1:4" ht="20" customHeight="1" x14ac:dyDescent="0.2">
      <c r="A13" s="12"/>
      <c r="B13" s="23" t="s">
        <v>17</v>
      </c>
      <c r="C13" s="19" t="s">
        <v>42</v>
      </c>
      <c r="D13" s="13" t="s">
        <v>68</v>
      </c>
    </row>
    <row r="14" spans="1:4" ht="20" customHeight="1" x14ac:dyDescent="0.2">
      <c r="A14" s="12"/>
      <c r="B14" s="24"/>
      <c r="C14" s="15" t="s">
        <v>31</v>
      </c>
      <c r="D14" s="12" t="s">
        <v>68</v>
      </c>
    </row>
    <row r="15" spans="1:4" ht="20" customHeight="1" x14ac:dyDescent="0.2">
      <c r="A15" s="12"/>
      <c r="B15" s="15" t="s">
        <v>29</v>
      </c>
      <c r="C15" s="21">
        <f>2*(1-_xlfn.T.DIST(C11, C4-1, TRUE))</f>
        <v>0.76553202595584557</v>
      </c>
      <c r="D15" s="12" t="s">
        <v>70</v>
      </c>
    </row>
    <row r="16" spans="1:4" ht="20" customHeight="1" x14ac:dyDescent="0.2">
      <c r="A16" s="12"/>
      <c r="C16" s="14"/>
    </row>
    <row r="17" spans="1:3" ht="20" customHeight="1" x14ac:dyDescent="0.2">
      <c r="A17" s="12"/>
      <c r="B17" s="12" t="s">
        <v>18</v>
      </c>
    </row>
    <row r="18" spans="1:3" ht="20" customHeight="1" x14ac:dyDescent="0.2">
      <c r="A18" s="12"/>
    </row>
    <row r="19" spans="1:3" ht="20" customHeight="1" x14ac:dyDescent="0.2">
      <c r="A19" s="12"/>
      <c r="B19" t="s">
        <v>72</v>
      </c>
      <c r="C19" s="8"/>
    </row>
    <row r="20" spans="1:3" ht="20" customHeight="1" x14ac:dyDescent="0.2">
      <c r="B20" t="s">
        <v>73</v>
      </c>
      <c r="C20" s="8"/>
    </row>
  </sheetData>
  <mergeCells count="1">
    <mergeCell ref="B13:B14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Option Button 1">
              <controlPr defaultSize="0" autoFill="0" autoLine="0" autoPict="0">
                <anchor moveWithCells="1">
                  <from>
                    <xdr:col>2</xdr:col>
                    <xdr:colOff>12700</xdr:colOff>
                    <xdr:row>16</xdr:row>
                    <xdr:rowOff>25400</xdr:rowOff>
                  </from>
                  <to>
                    <xdr:col>2</xdr:col>
                    <xdr:colOff>965200</xdr:colOff>
                    <xdr:row>16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4" name="Option Button 2">
              <controlPr defaultSize="0" autoFill="0" autoLine="0" autoPict="0">
                <anchor moveWithCells="1">
                  <from>
                    <xdr:col>2</xdr:col>
                    <xdr:colOff>12700</xdr:colOff>
                    <xdr:row>17</xdr:row>
                    <xdr:rowOff>25400</xdr:rowOff>
                  </from>
                  <to>
                    <xdr:col>2</xdr:col>
                    <xdr:colOff>939800</xdr:colOff>
                    <xdr:row>17</xdr:row>
                    <xdr:rowOff>254000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NATHAN TANABORIBOON</cp:lastModifiedBy>
  <dcterms:created xsi:type="dcterms:W3CDTF">2022-06-03T14:59:21Z</dcterms:created>
  <dcterms:modified xsi:type="dcterms:W3CDTF">2026-06-04T04:52:23Z</dcterms:modified>
</cp:coreProperties>
</file>