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drawings/drawing2.xml" ContentType="application/vnd.openxmlformats-officedocument.drawing+xml"/>
  <Override PartName="/xl/ctrlProps/ctrlProp3.xml" ContentType="application/vnd.ms-excel.controlproperties+xml"/>
  <Override PartName="/xl/ctrlProps/ctrlProp4.xml" ContentType="application/vnd.ms-excel.controlproperties+xml"/>
  <Override PartName="/xl/drawings/drawing3.xml" ContentType="application/vnd.openxmlformats-officedocument.drawing+xml"/>
  <Override PartName="/xl/ctrlProps/ctrlProp5.xml" ContentType="application/vnd.ms-excel.controlproperties+xml"/>
  <Override PartName="/xl/ctrlProps/ctrlProp6.xml" ContentType="application/vnd.ms-excel.controlproperties+xml"/>
  <Override PartName="/xl/drawings/drawing4.xml" ContentType="application/vnd.openxmlformats-officedocument.drawing+xml"/>
  <Override PartName="/xl/ctrlProps/ctrlProp7.xml" ContentType="application/vnd.ms-excel.controlproperties+xml"/>
  <Override PartName="/xl/ctrlProps/ctrlProp8.xml" ContentType="application/vnd.ms-excel.controlproperties+xml"/>
  <Override PartName="/xl/drawings/drawing5.xml" ContentType="application/vnd.openxmlformats-officedocument.drawing+xml"/>
  <Override PartName="/xl/ctrlProps/ctrlProp9.xml" ContentType="application/vnd.ms-excel.controlproperties+xml"/>
  <Override PartName="/xl/ctrlProps/ctrlProp10.xml" ContentType="application/vnd.ms-excel.controlproperties+xml"/>
  <Override PartName="/xl/drawings/drawing6.xml" ContentType="application/vnd.openxmlformats-officedocument.drawing+xml"/>
  <Override PartName="/xl/ctrlProps/ctrlProp11.xml" ContentType="application/vnd.ms-excel.controlproperties+xml"/>
  <Override PartName="/xl/ctrlProps/ctrlProp12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in/Desktop/joint-repository/stats for com eng/excel files/"/>
    </mc:Choice>
  </mc:AlternateContent>
  <xr:revisionPtr revIDLastSave="0" documentId="13_ncr:1_{08C1DCF9-644E-6C44-BC52-11BD3DF84814}" xr6:coauthVersionLast="47" xr6:coauthVersionMax="47" xr10:uidLastSave="{00000000-0000-0000-0000-000000000000}"/>
  <bookViews>
    <workbookView xWindow="0" yWindow="600" windowWidth="20480" windowHeight="11040" activeTab="7" xr2:uid="{C748285C-19E1-4F2D-927D-6F526C53A5E8}"/>
  </bookViews>
  <sheets>
    <sheet name="Sheet1" sheetId="1" r:id="rId1"/>
    <sheet name="Sheet1 practice" sheetId="5" r:id="rId2"/>
    <sheet name="Sheet2" sheetId="2" r:id="rId3"/>
    <sheet name="Sheet2 practice" sheetId="6" r:id="rId4"/>
    <sheet name="Sheet3" sheetId="3" r:id="rId5"/>
    <sheet name="Sheet3 practice" sheetId="7" r:id="rId6"/>
    <sheet name="Sheet4" sheetId="4" r:id="rId7"/>
    <sheet name="Sheet4 practice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8" l="1"/>
  <c r="E17" i="8"/>
  <c r="C15" i="8"/>
  <c r="C12" i="8"/>
  <c r="C11" i="8"/>
  <c r="C15" i="7"/>
  <c r="C12" i="7"/>
  <c r="C11" i="7"/>
  <c r="G8" i="7"/>
  <c r="G7" i="7"/>
  <c r="G6" i="7"/>
  <c r="G5" i="7"/>
  <c r="C4" i="7"/>
  <c r="C3" i="7"/>
  <c r="D32" i="6"/>
  <c r="D30" i="6"/>
  <c r="D31" i="6"/>
  <c r="D29" i="6"/>
  <c r="B10" i="6"/>
  <c r="B14" i="6"/>
  <c r="B18" i="5"/>
  <c r="B17" i="5"/>
  <c r="B19" i="5" s="1"/>
  <c r="B13" i="5"/>
  <c r="B12" i="5"/>
  <c r="B14" i="5" s="1"/>
  <c r="B8" i="5"/>
  <c r="B7" i="5"/>
  <c r="B9" i="5" s="1"/>
  <c r="B3" i="5"/>
  <c r="B2" i="5"/>
  <c r="B4" i="5" s="1"/>
  <c r="C15" i="4"/>
  <c r="C12" i="4"/>
  <c r="C11" i="4"/>
  <c r="C15" i="3"/>
  <c r="C12" i="3"/>
  <c r="C11" i="3"/>
  <c r="C5" i="3"/>
  <c r="C4" i="3"/>
  <c r="C3" i="3"/>
  <c r="B14" i="2"/>
  <c r="B11" i="2"/>
  <c r="B10" i="2"/>
  <c r="B9" i="2"/>
  <c r="B19" i="1"/>
  <c r="B18" i="1"/>
  <c r="B17" i="1"/>
  <c r="B14" i="1"/>
  <c r="B13" i="1"/>
  <c r="B12" i="1"/>
  <c r="B9" i="1"/>
  <c r="B8" i="1"/>
  <c r="B7" i="1"/>
  <c r="B4" i="1"/>
  <c r="B3" i="1"/>
  <c r="B2" i="1"/>
</calcChain>
</file>

<file path=xl/sharedStrings.xml><?xml version="1.0" encoding="utf-8"?>
<sst xmlns="http://schemas.openxmlformats.org/spreadsheetml/2006/main" count="231" uniqueCount="118">
  <si>
    <t>P(Z &gt; 1.90)</t>
  </si>
  <si>
    <t>P(Z &lt; -1.90)</t>
  </si>
  <si>
    <t>P(Z &lt; -1.90) + P(Z &gt; 1.90)</t>
  </si>
  <si>
    <r>
      <t>Alpha (</t>
    </r>
    <r>
      <rPr>
        <b/>
        <sz val="11"/>
        <color theme="1"/>
        <rFont val="Symbol"/>
        <family val="1"/>
        <charset val="2"/>
      </rPr>
      <t>a</t>
    </r>
    <r>
      <rPr>
        <b/>
        <sz val="11"/>
        <color theme="1"/>
        <rFont val="Calibri"/>
        <family val="2"/>
      </rPr>
      <t>)</t>
    </r>
  </si>
  <si>
    <r>
      <t>Beta (</t>
    </r>
    <r>
      <rPr>
        <b/>
        <sz val="11"/>
        <color theme="1"/>
        <rFont val="Symbol"/>
        <family val="1"/>
        <charset val="2"/>
      </rPr>
      <t>b</t>
    </r>
    <r>
      <rPr>
        <b/>
        <sz val="11"/>
        <color theme="1"/>
        <rFont val="Calibri"/>
        <family val="2"/>
      </rPr>
      <t>)</t>
    </r>
  </si>
  <si>
    <t>P(Z &lt;= -0.63)</t>
  </si>
  <si>
    <t>P(Z &lt;= -4.43)</t>
  </si>
  <si>
    <t>P(-4.43 &lt;= Z &lt;= -0.63)</t>
  </si>
  <si>
    <t>P(-2.53 &lt;= Z &lt;= 1.27)</t>
  </si>
  <si>
    <t>P(Z &lt;= 1.27)</t>
  </si>
  <si>
    <t>P(Z &lt;= -2.53)</t>
  </si>
  <si>
    <t>P(-5.60 &lt;= Z &lt;= -0.80)</t>
  </si>
  <si>
    <t>P(Z &lt;= -0.80)</t>
  </si>
  <si>
    <t>P(Z &lt;= -5.60)</t>
  </si>
  <si>
    <t>Parameter of Interest</t>
  </si>
  <si>
    <t>Null Hypothesis</t>
  </si>
  <si>
    <t>Alternative Hypothesis</t>
  </si>
  <si>
    <t>Reject Region</t>
  </si>
  <si>
    <t>Accept/Reject Null Hypothesis</t>
  </si>
  <si>
    <t>Burning Rate</t>
  </si>
  <si>
    <r>
      <t xml:space="preserve">H0: </t>
    </r>
    <r>
      <rPr>
        <sz val="11"/>
        <color theme="1"/>
        <rFont val="Symbol"/>
        <family val="1"/>
        <charset val="2"/>
      </rPr>
      <t>m</t>
    </r>
    <r>
      <rPr>
        <sz val="11"/>
        <color theme="1"/>
        <rFont val="Calibri"/>
        <family val="2"/>
        <scheme val="minor"/>
      </rPr>
      <t xml:space="preserve"> = 50</t>
    </r>
  </si>
  <si>
    <r>
      <t xml:space="preserve">H1: </t>
    </r>
    <r>
      <rPr>
        <sz val="11"/>
        <color theme="1"/>
        <rFont val="Symbol"/>
        <family val="1"/>
        <charset val="2"/>
      </rPr>
      <t>m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Symbol"/>
        <family val="1"/>
        <charset val="2"/>
      </rPr>
      <t>¹</t>
    </r>
    <r>
      <rPr>
        <sz val="11"/>
        <color theme="1"/>
        <rFont val="Calibri"/>
        <family val="2"/>
        <scheme val="minor"/>
      </rPr>
      <t xml:space="preserve"> 50</t>
    </r>
  </si>
  <si>
    <r>
      <t>Popolation Mean (</t>
    </r>
    <r>
      <rPr>
        <sz val="11"/>
        <color theme="1"/>
        <rFont val="Symbol"/>
        <family val="1"/>
        <charset val="2"/>
      </rPr>
      <t>m</t>
    </r>
    <r>
      <rPr>
        <sz val="11"/>
        <color theme="1"/>
        <rFont val="Calibri"/>
        <family val="2"/>
        <scheme val="minor"/>
      </rPr>
      <t xml:space="preserve">) </t>
    </r>
  </si>
  <si>
    <r>
      <t>Significance Level (</t>
    </r>
    <r>
      <rPr>
        <sz val="11"/>
        <color theme="1"/>
        <rFont val="Symbol"/>
        <family val="1"/>
        <charset val="2"/>
      </rPr>
      <t>a</t>
    </r>
    <r>
      <rPr>
        <sz val="11"/>
        <color theme="1"/>
        <rFont val="Calibri"/>
        <family val="2"/>
        <scheme val="minor"/>
      </rPr>
      <t>)</t>
    </r>
  </si>
  <si>
    <t>---&gt; n</t>
  </si>
  <si>
    <r>
      <t xml:space="preserve">---&gt; </t>
    </r>
    <r>
      <rPr>
        <sz val="11"/>
        <color theme="1"/>
        <rFont val="Symbol"/>
        <family val="1"/>
        <charset val="2"/>
      </rPr>
      <t>s</t>
    </r>
  </si>
  <si>
    <t>Test Statistic (Z0)</t>
  </si>
  <si>
    <r>
      <t xml:space="preserve">---&gt; </t>
    </r>
    <r>
      <rPr>
        <sz val="11"/>
        <color theme="1"/>
        <rFont val="Symbol"/>
        <family val="1"/>
        <charset val="2"/>
      </rPr>
      <t>a</t>
    </r>
    <r>
      <rPr>
        <sz val="11"/>
        <color theme="1"/>
        <rFont val="Calibri"/>
        <family val="2"/>
      </rPr>
      <t>/2</t>
    </r>
  </si>
  <si>
    <r>
      <t>---&gt; Z(</t>
    </r>
    <r>
      <rPr>
        <sz val="11"/>
        <color theme="1"/>
        <rFont val="Symbol"/>
        <family val="1"/>
        <charset val="2"/>
      </rPr>
      <t>a</t>
    </r>
    <r>
      <rPr>
        <sz val="11"/>
        <color theme="1"/>
        <rFont val="Calibri"/>
        <family val="2"/>
      </rPr>
      <t>/2)</t>
    </r>
  </si>
  <si>
    <t>P-value</t>
  </si>
  <si>
    <r>
      <t>Reject H0 if Z0 &lt; -Z(</t>
    </r>
    <r>
      <rPr>
        <sz val="11"/>
        <color theme="1"/>
        <rFont val="Symbol"/>
        <family val="1"/>
        <charset val="2"/>
      </rPr>
      <t>a</t>
    </r>
    <r>
      <rPr>
        <sz val="11"/>
        <color theme="1"/>
        <rFont val="Calibri"/>
        <family val="2"/>
      </rPr>
      <t>/2)</t>
    </r>
    <r>
      <rPr>
        <sz val="11"/>
        <color theme="1"/>
        <rFont val="Calibri"/>
        <family val="2"/>
        <scheme val="minor"/>
      </rPr>
      <t xml:space="preserve"> or Z0 &gt; Z(</t>
    </r>
    <r>
      <rPr>
        <sz val="11"/>
        <color theme="1"/>
        <rFont val="Symbol"/>
        <family val="1"/>
        <charset val="2"/>
      </rPr>
      <t>a</t>
    </r>
    <r>
      <rPr>
        <sz val="11"/>
        <color theme="1"/>
        <rFont val="Calibri"/>
        <family val="2"/>
        <scheme val="minor"/>
      </rPr>
      <t>/2)</t>
    </r>
  </si>
  <si>
    <r>
      <t xml:space="preserve">Reject H0 if P-value &lt; </t>
    </r>
    <r>
      <rPr>
        <sz val="11"/>
        <color theme="1"/>
        <rFont val="Symbol"/>
        <family val="1"/>
        <charset val="2"/>
      </rPr>
      <t>a</t>
    </r>
  </si>
  <si>
    <t>Golf Club Design</t>
  </si>
  <si>
    <t>The observations:</t>
  </si>
  <si>
    <t>Sample Mean</t>
  </si>
  <si>
    <t>Sample Standard Deviation (s)</t>
  </si>
  <si>
    <t>Sample Size (n)</t>
  </si>
  <si>
    <t>Test Statistic (t0)</t>
  </si>
  <si>
    <r>
      <t>t(</t>
    </r>
    <r>
      <rPr>
        <sz val="11"/>
        <color theme="1"/>
        <rFont val="Symbol"/>
        <family val="1"/>
        <charset val="2"/>
      </rPr>
      <t>a</t>
    </r>
    <r>
      <rPr>
        <sz val="11"/>
        <color theme="1"/>
        <rFont val="Calibri"/>
        <family val="2"/>
      </rPr>
      <t>)</t>
    </r>
  </si>
  <si>
    <r>
      <t>Reject H0 if t0 &gt; t(</t>
    </r>
    <r>
      <rPr>
        <sz val="11"/>
        <color theme="1"/>
        <rFont val="Symbol"/>
        <family val="1"/>
        <charset val="2"/>
      </rPr>
      <t>a</t>
    </r>
    <r>
      <rPr>
        <sz val="11"/>
        <color theme="1"/>
        <rFont val="Calibri"/>
        <family val="2"/>
        <scheme val="minor"/>
      </rPr>
      <t>)</t>
    </r>
  </si>
  <si>
    <t>High School - SAT Score</t>
  </si>
  <si>
    <r>
      <t>t(</t>
    </r>
    <r>
      <rPr>
        <sz val="11"/>
        <color theme="1"/>
        <rFont val="Symbol"/>
        <family val="1"/>
        <charset val="2"/>
      </rPr>
      <t>a/2</t>
    </r>
    <r>
      <rPr>
        <sz val="11"/>
        <color theme="1"/>
        <rFont val="Calibri"/>
        <family val="2"/>
      </rPr>
      <t>)</t>
    </r>
  </si>
  <si>
    <r>
      <t>Reject H0 if t0 &lt; -t(</t>
    </r>
    <r>
      <rPr>
        <sz val="11"/>
        <color theme="1"/>
        <rFont val="Symbol"/>
        <family val="1"/>
        <charset val="2"/>
      </rPr>
      <t>a</t>
    </r>
    <r>
      <rPr>
        <sz val="11"/>
        <color theme="1"/>
        <rFont val="Calibri"/>
        <family val="2"/>
        <scheme val="minor"/>
      </rPr>
      <t>/2) or t0 &gt; t(</t>
    </r>
    <r>
      <rPr>
        <sz val="11"/>
        <color theme="1"/>
        <rFont val="Symbol"/>
        <family val="1"/>
        <charset val="2"/>
      </rPr>
      <t>a</t>
    </r>
    <r>
      <rPr>
        <sz val="11"/>
        <color theme="1"/>
        <rFont val="Calibri"/>
        <family val="2"/>
      </rPr>
      <t>/2)</t>
    </r>
  </si>
  <si>
    <t>Left tail and right tail probability (of rejection) will occur here</t>
  </si>
  <si>
    <t>prob of reject H null when it is true</t>
  </si>
  <si>
    <t>hypothesis testing  = we have hypothesis and we want to find the probility of rejection of such value</t>
  </si>
  <si>
    <t>P(Type I error)</t>
  </si>
  <si>
    <t>Probability of fail to reject H null when H null is false</t>
  </si>
  <si>
    <t>H null is hypothesis</t>
  </si>
  <si>
    <r>
      <t>Beta (</t>
    </r>
    <r>
      <rPr>
        <b/>
        <sz val="11"/>
        <color theme="1"/>
        <rFont val="Symbol"/>
        <family val="1"/>
        <charset val="2"/>
      </rPr>
      <t>b</t>
    </r>
    <r>
      <rPr>
        <b/>
        <sz val="11"/>
        <color theme="1"/>
        <rFont val="Calibri"/>
        <family val="2"/>
      </rPr>
      <t>) Type II error</t>
    </r>
  </si>
  <si>
    <t>H0 = mu=50, actual mu = 52</t>
  </si>
  <si>
    <t>mu and actual mu are equal</t>
  </si>
  <si>
    <t>actual mu = 50.5, n = 10</t>
  </si>
  <si>
    <t>actual mu = 52, n = 16</t>
  </si>
  <si>
    <t>page 71 statistical interference</t>
  </si>
  <si>
    <t>---&gt; sample mean (X bar)</t>
  </si>
  <si>
    <t>reject</t>
  </si>
  <si>
    <t>We have strong evidence to reject H0, and accept H1.</t>
  </si>
  <si>
    <t>That means the mean of burning rate is not be 50 cm/sec at significant level 0.05</t>
  </si>
  <si>
    <t>Cumulative distribution function to 3.25</t>
  </si>
  <si>
    <t>varies based on tail considered, slide 74, stats interference</t>
  </si>
  <si>
    <r>
      <t xml:space="preserve">H0: </t>
    </r>
    <r>
      <rPr>
        <sz val="11"/>
        <color theme="1"/>
        <rFont val="Symbol"/>
        <family val="1"/>
        <charset val="2"/>
      </rPr>
      <t>m</t>
    </r>
    <r>
      <rPr>
        <sz val="11"/>
        <color theme="1"/>
        <rFont val="Calibri"/>
        <family val="2"/>
        <scheme val="minor"/>
      </rPr>
      <t xml:space="preserve"> = 0.82</t>
    </r>
  </si>
  <si>
    <r>
      <t xml:space="preserve">H1: </t>
    </r>
    <r>
      <rPr>
        <sz val="11"/>
        <color theme="1"/>
        <rFont val="Symbol"/>
        <family val="1"/>
        <charset val="2"/>
      </rPr>
      <t>m</t>
    </r>
    <r>
      <rPr>
        <sz val="11"/>
        <color theme="1"/>
        <rFont val="Calibri"/>
        <family val="2"/>
        <scheme val="minor"/>
      </rPr>
      <t xml:space="preserve"> &gt; 0.82</t>
    </r>
  </si>
  <si>
    <t>one tail, mean is 0.83, so hypothesis we assume it is MORE than mean</t>
  </si>
  <si>
    <t>=1-T.DIST(C11, C5-1, TRUE)</t>
  </si>
  <si>
    <t>=T.INV(1-C10, C5-1)</t>
  </si>
  <si>
    <t>=(C3-0.82)/(C4/SQRT(C5))</t>
  </si>
  <si>
    <r>
      <t xml:space="preserve">H0: </t>
    </r>
    <r>
      <rPr>
        <sz val="11"/>
        <color theme="1"/>
        <rFont val="Symbol"/>
        <family val="1"/>
        <charset val="2"/>
      </rPr>
      <t>m</t>
    </r>
    <r>
      <rPr>
        <sz val="11"/>
        <color theme="1"/>
        <rFont val="Calibri"/>
        <family val="2"/>
        <scheme val="minor"/>
      </rPr>
      <t xml:space="preserve"> = 500</t>
    </r>
  </si>
  <si>
    <t>accept</t>
  </si>
  <si>
    <r>
      <t xml:space="preserve">H1: </t>
    </r>
    <r>
      <rPr>
        <sz val="11"/>
        <color theme="1"/>
        <rFont val="Symbol"/>
        <family val="1"/>
        <charset val="2"/>
      </rPr>
      <t>m</t>
    </r>
    <r>
      <rPr>
        <sz val="11"/>
        <color theme="1"/>
        <rFont val="Calibri"/>
        <family val="2"/>
        <scheme val="minor"/>
      </rPr>
      <t xml:space="preserve"> != 500</t>
    </r>
  </si>
  <si>
    <t>t.dist</t>
  </si>
  <si>
    <t>t.inv</t>
  </si>
  <si>
    <t>We have strong evidence to accept H0, and reject H1.</t>
  </si>
  <si>
    <t>That means the mean of SAT score is  500 at significant level 0.01</t>
  </si>
  <si>
    <t>Type I error, reject null hypothesis when sample is possible to come from null hypothesis world</t>
  </si>
  <si>
    <t>Type II error, fail to reject null hypothesis even though it is impossible that sample comes from null hypothesis</t>
  </si>
  <si>
    <t>mean must be 50</t>
  </si>
  <si>
    <t>standard dev (sigma) = 2</t>
  </si>
  <si>
    <t>significant level 0.05</t>
  </si>
  <si>
    <t>n=25</t>
  </si>
  <si>
    <t>mean sample = 51.3</t>
  </si>
  <si>
    <t>two tails (must be exact that value)</t>
  </si>
  <si>
    <t>null hyp.</t>
  </si>
  <si>
    <t>mu = 50</t>
  </si>
  <si>
    <t>alter</t>
  </si>
  <si>
    <t>mu != 50</t>
  </si>
  <si>
    <t>alpha</t>
  </si>
  <si>
    <t xml:space="preserve">n </t>
  </si>
  <si>
    <t>pop std</t>
  </si>
  <si>
    <t>test statistics</t>
  </si>
  <si>
    <t>Xbar sample mean</t>
  </si>
  <si>
    <t>left critical value</t>
  </si>
  <si>
    <t>right critical value</t>
  </si>
  <si>
    <t>test statistics exceed critical value, reject</t>
  </si>
  <si>
    <t>P value</t>
  </si>
  <si>
    <t>not possible to be in null hypothesis world, reject</t>
  </si>
  <si>
    <t>Because test statistics has exceeded critical value, and P value is lower than alpha, we have strong evidence to reject H null, meaning that the true mean burning rate of the rocket propulsion (given) is not 50 cm/sec</t>
  </si>
  <si>
    <t>sample mean</t>
  </si>
  <si>
    <t>x bar</t>
  </si>
  <si>
    <t>hypothesis</t>
  </si>
  <si>
    <t>sample std dev</t>
  </si>
  <si>
    <t>n</t>
  </si>
  <si>
    <r>
      <t>t(</t>
    </r>
    <r>
      <rPr>
        <sz val="11"/>
        <color theme="1"/>
        <rFont val="Symbol"/>
        <family val="1"/>
        <charset val="2"/>
      </rPr>
      <t>a</t>
    </r>
    <r>
      <rPr>
        <sz val="11"/>
        <color theme="1"/>
        <rFont val="Calibri"/>
        <family val="2"/>
      </rPr>
      <t>)</t>
    </r>
    <r>
      <rPr>
        <sz val="11"/>
        <color theme="1"/>
        <rFont val="Calibri"/>
        <family val="2"/>
        <scheme val="minor"/>
      </rPr>
      <t xml:space="preserve"> critical value</t>
    </r>
  </si>
  <si>
    <t>Reject Region (right tail)</t>
  </si>
  <si>
    <t>P value &lt; alpha reject</t>
  </si>
  <si>
    <t>t0 &gt; critical value reject</t>
  </si>
  <si>
    <t>we have strong evidence to reject H0 (with both test statistic and P value)</t>
  </si>
  <si>
    <t>meaning the mean coefficient of restitution exceeds 0.82</t>
  </si>
  <si>
    <t xml:space="preserve">mean </t>
  </si>
  <si>
    <t>stdev sample</t>
  </si>
  <si>
    <r>
      <t xml:space="preserve">H1: </t>
    </r>
    <r>
      <rPr>
        <sz val="11"/>
        <color theme="1"/>
        <rFont val="Symbol"/>
        <family val="1"/>
        <charset val="2"/>
      </rPr>
      <t>m != 500</t>
    </r>
  </si>
  <si>
    <t>two tail</t>
  </si>
  <si>
    <r>
      <t>t(</t>
    </r>
    <r>
      <rPr>
        <sz val="11"/>
        <color theme="1"/>
        <rFont val="Symbol"/>
        <family val="1"/>
        <charset val="2"/>
      </rPr>
      <t>a/2</t>
    </r>
    <r>
      <rPr>
        <sz val="11"/>
        <color theme="1"/>
        <rFont val="Calibri"/>
        <family val="2"/>
      </rPr>
      <t>)</t>
    </r>
    <r>
      <rPr>
        <sz val="11"/>
        <color theme="1"/>
        <rFont val="Calibri"/>
        <family val="2"/>
        <scheme val="minor"/>
      </rPr>
      <t xml:space="preserve"> critical value</t>
    </r>
  </si>
  <si>
    <t>t0 &lt; t(alpha/2) or t0 &gt; t(1-alpha/2) reject</t>
  </si>
  <si>
    <t>We have strong evidence to not reject H0</t>
  </si>
  <si>
    <t>For the total SAT score, we have strong evidence to claim that their mean is 500</t>
  </si>
  <si>
    <t>t(alpha/2)</t>
  </si>
  <si>
    <t>t(1-alpha/2)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</si>
</sst>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0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Symbol"/>
      <family val="1"/>
      <charset val="2"/>
    </font>
    <font>
      <sz val="11"/>
      <color theme="1"/>
      <name val="Calibri"/>
      <family val="2"/>
    </font>
    <font>
      <b/>
      <sz val="11"/>
      <color theme="1"/>
      <name val="Symbol"/>
      <family val="1"/>
      <charset val="2"/>
    </font>
    <font>
      <b/>
      <sz val="11"/>
      <color theme="1"/>
      <name val="Calibri"/>
      <family val="2"/>
    </font>
    <font>
      <b/>
      <u/>
      <sz val="11"/>
      <color theme="1"/>
      <name val="Calibri"/>
      <family val="2"/>
      <scheme val="minor"/>
    </font>
    <font>
      <sz val="8"/>
      <color rgb="FF000000"/>
      <name val="Segoe UI"/>
      <charset val="1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164" fontId="0" fillId="0" borderId="0" xfId="0" applyNumberFormat="1"/>
    <xf numFmtId="0" fontId="0" fillId="0" borderId="1" xfId="0" applyBorder="1"/>
    <xf numFmtId="164" fontId="0" fillId="0" borderId="1" xfId="0" applyNumberFormat="1" applyBorder="1"/>
    <xf numFmtId="164" fontId="0" fillId="2" borderId="1" xfId="0" applyNumberFormat="1" applyFill="1" applyBorder="1"/>
    <xf numFmtId="0" fontId="6" fillId="0" borderId="0" xfId="0" applyFont="1"/>
    <xf numFmtId="0" fontId="0" fillId="0" borderId="0" xfId="0" quotePrefix="1"/>
    <xf numFmtId="0" fontId="0" fillId="0" borderId="0" xfId="0" applyAlignment="1">
      <alignment horizontal="left"/>
    </xf>
    <xf numFmtId="164" fontId="0" fillId="0" borderId="0" xfId="0" applyNumberFormat="1" applyAlignment="1">
      <alignment horizontal="left"/>
    </xf>
    <xf numFmtId="0" fontId="0" fillId="2" borderId="1" xfId="0" applyFill="1" applyBorder="1" applyAlignment="1">
      <alignment horizontal="left"/>
    </xf>
    <xf numFmtId="164" fontId="6" fillId="0" borderId="0" xfId="0" applyNumberFormat="1" applyFont="1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164" fontId="0" fillId="0" borderId="0" xfId="0" applyNumberFormat="1" applyAlignment="1">
      <alignment horizontal="left" vertical="center"/>
    </xf>
    <xf numFmtId="0" fontId="0" fillId="0" borderId="1" xfId="0" applyBorder="1" applyAlignment="1">
      <alignment vertical="center"/>
    </xf>
    <xf numFmtId="165" fontId="0" fillId="2" borderId="1" xfId="0" applyNumberFormat="1" applyFill="1" applyBorder="1" applyAlignment="1">
      <alignment horizontal="left" vertical="center"/>
    </xf>
    <xf numFmtId="1" fontId="0" fillId="2" borderId="1" xfId="0" applyNumberFormat="1" applyFill="1" applyBorder="1" applyAlignment="1">
      <alignment horizontal="left" vertical="center"/>
    </xf>
    <xf numFmtId="165" fontId="0" fillId="0" borderId="0" xfId="0" applyNumberFormat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quotePrefix="1" applyBorder="1" applyAlignment="1">
      <alignment vertical="center"/>
    </xf>
    <xf numFmtId="164" fontId="0" fillId="3" borderId="1" xfId="0" applyNumberFormat="1" applyFill="1" applyBorder="1" applyAlignment="1">
      <alignment horizontal="left" vertical="center"/>
    </xf>
    <xf numFmtId="164" fontId="0" fillId="2" borderId="1" xfId="0" applyNumberFormat="1" applyFill="1" applyBorder="1" applyAlignment="1">
      <alignment horizontal="left" vertical="center"/>
    </xf>
    <xf numFmtId="164" fontId="0" fillId="0" borderId="0" xfId="0" quotePrefix="1" applyNumberFormat="1" applyAlignment="1">
      <alignment horizontal="left"/>
    </xf>
    <xf numFmtId="0" fontId="0" fillId="0" borderId="0" xfId="0" quotePrefix="1" applyAlignment="1">
      <alignment vertical="center"/>
    </xf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165" fontId="0" fillId="0" borderId="0" xfId="0" applyNumberFormat="1" applyAlignment="1">
      <alignment vertical="center"/>
    </xf>
    <xf numFmtId="1" fontId="0" fillId="0" borderId="0" xfId="0" applyNumberFormat="1" applyAlignment="1">
      <alignment vertical="center"/>
    </xf>
    <xf numFmtId="0" fontId="0" fillId="0" borderId="0" xfId="0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trlProps/ctrlProp1.xml><?xml version="1.0" encoding="utf-8"?>
<formControlPr xmlns="http://schemas.microsoft.com/office/spreadsheetml/2009/9/main" objectType="Radio" firstButton="1" lockText="1" noThreeD="1"/>
</file>

<file path=xl/ctrlProps/ctrlProp2.xml><?xml version="1.0" encoding="utf-8"?>
<formControlPr xmlns="http://schemas.microsoft.com/office/spreadsheetml/2009/9/main" objectType="Radio" checked="Checked" lockText="1" noThreeD="1"/>
</file>

<file path=xl/ctrlProps/ctrlProp3.xml><?xml version="1.0" encoding="utf-8"?>
<formControlPr xmlns="http://schemas.microsoft.com/office/spreadsheetml/2009/9/main" objectType="Radio" firstButton="1" lockText="1" noThreeD="1"/>
</file>

<file path=xl/ctrlProps/ctrlProp4.xml><?xml version="1.0" encoding="utf-8"?>
<formControlPr xmlns="http://schemas.microsoft.com/office/spreadsheetml/2009/9/main" objectType="Radio" checked="Checked" lockText="1" noThreeD="1"/>
</file>

<file path=xl/ctrlProps/ctrlProp5.xml><?xml version="1.0" encoding="utf-8"?>
<formControlPr xmlns="http://schemas.microsoft.com/office/spreadsheetml/2009/9/main" objectType="Radio" firstButton="1" lockText="1" noThreeD="1"/>
</file>

<file path=xl/ctrlProps/ctrlProp6.xml><?xml version="1.0" encoding="utf-8"?>
<formControlPr xmlns="http://schemas.microsoft.com/office/spreadsheetml/2009/9/main" objectType="Radio" checked="Checked" lockText="1" noThreeD="1"/>
</file>

<file path=xl/ctrlProps/ctrlProp7.xml><?xml version="1.0" encoding="utf-8"?>
<formControlPr xmlns="http://schemas.microsoft.com/office/spreadsheetml/2009/9/main" objectType="Radio" firstButton="1" lockText="1" noThreeD="1"/>
</file>

<file path=xl/ctrlProps/ctrlProp8.xml><?xml version="1.0" encoding="utf-8"?>
<formControlPr xmlns="http://schemas.microsoft.com/office/spreadsheetml/2009/9/main" objectType="Radio" checked="Checked" lockText="1" noThreeD="1"/>
</file>

<file path=xl/ctrlProps/ctrlProp9.xml><?xml version="1.0" encoding="utf-8"?>
<formControlPr xmlns="http://schemas.microsoft.com/office/spreadsheetml/2009/9/main" objectType="Radio" checked="Checked" firstButton="1" lockText="1" noThreeD="1"/>
</file>

<file path=xl/ctrlProps/ctrlProp10.xml><?xml version="1.0" encoding="utf-8"?>
<formControlPr xmlns="http://schemas.microsoft.com/office/spreadsheetml/2009/9/main" objectType="Radio" lockText="1" noThreeD="1"/>
</file>

<file path=xl/ctrlProps/ctrlProp11.xml><?xml version="1.0" encoding="utf-8"?>
<formControlPr xmlns="http://schemas.microsoft.com/office/spreadsheetml/2009/9/main" objectType="Radio" checked="Checked" firstButton="1" lockText="1" noThreeD="1"/>
</file>

<file path=xl/ctrlProps/ctrlProp12.xml><?xml version="1.0" encoding="utf-8"?>
<formControlPr xmlns="http://schemas.microsoft.com/office/spreadsheetml/2009/9/main" objectType="Radio" lockText="1" noThreeD="1"/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12700</xdr:colOff>
          <xdr:row>15</xdr:row>
          <xdr:rowOff>25400</xdr:rowOff>
        </xdr:from>
        <xdr:to>
          <xdr:col>1</xdr:col>
          <xdr:colOff>965200</xdr:colOff>
          <xdr:row>15</xdr:row>
          <xdr:rowOff>254000</xdr:rowOff>
        </xdr:to>
        <xdr:sp macro="" textlink="">
          <xdr:nvSpPr>
            <xdr:cNvPr id="2050" name="Option Button 2" hidden="1">
              <a:extLst>
                <a:ext uri="{63B3BB69-23CF-44E3-9099-C40C66FF867C}">
                  <a14:compatExt spid="_x0000_s2050"/>
                </a:ext>
                <a:ext uri="{FF2B5EF4-FFF2-40B4-BE49-F238E27FC236}">
                  <a16:creationId xmlns:a16="http://schemas.microsoft.com/office/drawing/2014/main" id="{00000000-0008-0000-0200-00000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18288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Accept H0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12700</xdr:colOff>
          <xdr:row>16</xdr:row>
          <xdr:rowOff>25400</xdr:rowOff>
        </xdr:from>
        <xdr:to>
          <xdr:col>1</xdr:col>
          <xdr:colOff>939800</xdr:colOff>
          <xdr:row>16</xdr:row>
          <xdr:rowOff>254000</xdr:rowOff>
        </xdr:to>
        <xdr:sp macro="" textlink="">
          <xdr:nvSpPr>
            <xdr:cNvPr id="2051" name="Option 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18288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Reject H0</a:t>
              </a:r>
            </a:p>
          </xdr:txBody>
        </xdr:sp>
        <xdr:clientData/>
      </xdr:twoCellAnchor>
    </mc:Choice>
    <mc:Fallback/>
  </mc:AlternateContent>
  <xdr:twoCellAnchor editAs="oneCell">
    <xdr:from>
      <xdr:col>2</xdr:col>
      <xdr:colOff>25400</xdr:colOff>
      <xdr:row>7</xdr:row>
      <xdr:rowOff>19050</xdr:rowOff>
    </xdr:from>
    <xdr:to>
      <xdr:col>2</xdr:col>
      <xdr:colOff>1133475</xdr:colOff>
      <xdr:row>8</xdr:row>
      <xdr:rowOff>245674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11650" y="1819275"/>
          <a:ext cx="1104900" cy="483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47624</xdr:colOff>
      <xdr:row>13</xdr:row>
      <xdr:rowOff>28780</xdr:rowOff>
    </xdr:from>
    <xdr:to>
      <xdr:col>2</xdr:col>
      <xdr:colOff>1714500</xdr:colOff>
      <xdr:row>14</xdr:row>
      <xdr:rowOff>28575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00574" y="3372055"/>
          <a:ext cx="1666876" cy="2537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12700</xdr:colOff>
          <xdr:row>15</xdr:row>
          <xdr:rowOff>25400</xdr:rowOff>
        </xdr:from>
        <xdr:to>
          <xdr:col>1</xdr:col>
          <xdr:colOff>965200</xdr:colOff>
          <xdr:row>16</xdr:row>
          <xdr:rowOff>0</xdr:rowOff>
        </xdr:to>
        <xdr:sp macro="" textlink="">
          <xdr:nvSpPr>
            <xdr:cNvPr id="9217" name="Option Button 1" hidden="1">
              <a:extLst>
                <a:ext uri="{63B3BB69-23CF-44E3-9099-C40C66FF867C}">
                  <a14:compatExt spid="_x0000_s9217"/>
                </a:ext>
                <a:ext uri="{FF2B5EF4-FFF2-40B4-BE49-F238E27FC236}">
                  <a16:creationId xmlns:a16="http://schemas.microsoft.com/office/drawing/2014/main" id="{00000000-0008-0000-0300-000001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18288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Accept H0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12700</xdr:colOff>
          <xdr:row>16</xdr:row>
          <xdr:rowOff>25400</xdr:rowOff>
        </xdr:from>
        <xdr:to>
          <xdr:col>1</xdr:col>
          <xdr:colOff>939800</xdr:colOff>
          <xdr:row>17</xdr:row>
          <xdr:rowOff>0</xdr:rowOff>
        </xdr:to>
        <xdr:sp macro="" textlink="">
          <xdr:nvSpPr>
            <xdr:cNvPr id="9218" name="Option Button 2" hidden="1">
              <a:extLst>
                <a:ext uri="{63B3BB69-23CF-44E3-9099-C40C66FF867C}">
                  <a14:compatExt spid="_x0000_s9218"/>
                </a:ext>
                <a:ext uri="{FF2B5EF4-FFF2-40B4-BE49-F238E27FC236}">
                  <a16:creationId xmlns:a16="http://schemas.microsoft.com/office/drawing/2014/main" id="{00000000-0008-0000-0300-000002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18288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Reject H0</a:t>
              </a:r>
            </a:p>
          </xdr:txBody>
        </xdr:sp>
        <xdr:clientData/>
      </xdr:twoCellAnchor>
    </mc:Choice>
    <mc:Fallback/>
  </mc:AlternateContent>
  <xdr:twoCellAnchor editAs="oneCell">
    <xdr:from>
      <xdr:col>2</xdr:col>
      <xdr:colOff>25400</xdr:colOff>
      <xdr:row>7</xdr:row>
      <xdr:rowOff>19050</xdr:rowOff>
    </xdr:from>
    <xdr:to>
      <xdr:col>2</xdr:col>
      <xdr:colOff>1133475</xdr:colOff>
      <xdr:row>8</xdr:row>
      <xdr:rowOff>245674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2F79B-806E-9549-B205-9BB13BF9B85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03800" y="1797050"/>
          <a:ext cx="1108075" cy="480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47624</xdr:colOff>
      <xdr:row>13</xdr:row>
      <xdr:rowOff>28780</xdr:rowOff>
    </xdr:from>
    <xdr:to>
      <xdr:col>2</xdr:col>
      <xdr:colOff>1714500</xdr:colOff>
      <xdr:row>14</xdr:row>
      <xdr:rowOff>28575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ED0C005-0EA7-954A-A794-AA7AB9E479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26024" y="3330780"/>
          <a:ext cx="1666876" cy="2537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53203</xdr:colOff>
      <xdr:row>19</xdr:row>
      <xdr:rowOff>195385</xdr:rowOff>
    </xdr:from>
    <xdr:to>
      <xdr:col>2</xdr:col>
      <xdr:colOff>0</xdr:colOff>
      <xdr:row>24</xdr:row>
      <xdr:rowOff>169911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386E44D-3FF3-1D4A-CB60-C16F52216C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3203" y="5049941"/>
          <a:ext cx="4921590" cy="1252041"/>
        </a:xfrm>
        <a:prstGeom prst="rect">
          <a:avLst/>
        </a:prstGeom>
      </xdr:spPr>
    </xdr:pic>
    <xdr:clientData/>
  </xdr:twoCellAnchor>
  <xdr:twoCellAnchor editAs="oneCell">
    <xdr:from>
      <xdr:col>5</xdr:col>
      <xdr:colOff>465917</xdr:colOff>
      <xdr:row>25</xdr:row>
      <xdr:rowOff>97692</xdr:rowOff>
    </xdr:from>
    <xdr:to>
      <xdr:col>7</xdr:col>
      <xdr:colOff>260914</xdr:colOff>
      <xdr:row>27</xdr:row>
      <xdr:rowOff>81986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A3D2C4B-F4DB-C03E-9D53-3F4CBB516A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250710" y="6485266"/>
          <a:ext cx="1117600" cy="4953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16</xdr:row>
          <xdr:rowOff>25400</xdr:rowOff>
        </xdr:from>
        <xdr:to>
          <xdr:col>2</xdr:col>
          <xdr:colOff>965200</xdr:colOff>
          <xdr:row>16</xdr:row>
          <xdr:rowOff>254000</xdr:rowOff>
        </xdr:to>
        <xdr:sp macro="" textlink="">
          <xdr:nvSpPr>
            <xdr:cNvPr id="3073" name="Option Button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00000000-0008-0000-0400-00000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18288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Accept H0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17</xdr:row>
          <xdr:rowOff>25400</xdr:rowOff>
        </xdr:from>
        <xdr:to>
          <xdr:col>2</xdr:col>
          <xdr:colOff>939800</xdr:colOff>
          <xdr:row>17</xdr:row>
          <xdr:rowOff>254000</xdr:rowOff>
        </xdr:to>
        <xdr:sp macro="" textlink="">
          <xdr:nvSpPr>
            <xdr:cNvPr id="3074" name="Option Button 2" hidden="1">
              <a:extLst>
                <a:ext uri="{63B3BB69-23CF-44E3-9099-C40C66FF867C}">
                  <a14:compatExt spid="_x0000_s3074"/>
                </a:ext>
                <a:ext uri="{FF2B5EF4-FFF2-40B4-BE49-F238E27FC236}">
                  <a16:creationId xmlns:a16="http://schemas.microsoft.com/office/drawing/2014/main" id="{00000000-0008-0000-0400-00000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18288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Reject H0</a:t>
              </a:r>
            </a:p>
          </xdr:txBody>
        </xdr:sp>
        <xdr:clientData/>
      </xdr:twoCellAnchor>
    </mc:Choice>
    <mc:Fallback/>
  </mc:AlternateContent>
  <xdr:twoCellAnchor editAs="oneCell">
    <xdr:from>
      <xdr:col>3</xdr:col>
      <xdr:colOff>41274</xdr:colOff>
      <xdr:row>7</xdr:row>
      <xdr:rowOff>120650</xdr:rowOff>
    </xdr:from>
    <xdr:to>
      <xdr:col>3</xdr:col>
      <xdr:colOff>1315507</xdr:colOff>
      <xdr:row>9</xdr:row>
      <xdr:rowOff>130175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E9DE681-21FA-490C-8B6D-DE0F73D999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13374" y="1898650"/>
          <a:ext cx="1274233" cy="520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16</xdr:row>
          <xdr:rowOff>25400</xdr:rowOff>
        </xdr:from>
        <xdr:to>
          <xdr:col>2</xdr:col>
          <xdr:colOff>965200</xdr:colOff>
          <xdr:row>17</xdr:row>
          <xdr:rowOff>0</xdr:rowOff>
        </xdr:to>
        <xdr:sp macro="" textlink="">
          <xdr:nvSpPr>
            <xdr:cNvPr id="10241" name="Option Button 1" hidden="1">
              <a:extLst>
                <a:ext uri="{63B3BB69-23CF-44E3-9099-C40C66FF867C}">
                  <a14:compatExt spid="_x0000_s10241"/>
                </a:ext>
                <a:ext uri="{FF2B5EF4-FFF2-40B4-BE49-F238E27FC236}">
                  <a16:creationId xmlns:a16="http://schemas.microsoft.com/office/drawing/2014/main" id="{00000000-0008-0000-0500-0000012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18288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Accept H0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17</xdr:row>
          <xdr:rowOff>25400</xdr:rowOff>
        </xdr:from>
        <xdr:to>
          <xdr:col>2</xdr:col>
          <xdr:colOff>939800</xdr:colOff>
          <xdr:row>18</xdr:row>
          <xdr:rowOff>0</xdr:rowOff>
        </xdr:to>
        <xdr:sp macro="" textlink="">
          <xdr:nvSpPr>
            <xdr:cNvPr id="10242" name="Option Button 2" hidden="1">
              <a:extLst>
                <a:ext uri="{63B3BB69-23CF-44E3-9099-C40C66FF867C}">
                  <a14:compatExt spid="_x0000_s10242"/>
                </a:ext>
                <a:ext uri="{FF2B5EF4-FFF2-40B4-BE49-F238E27FC236}">
                  <a16:creationId xmlns:a16="http://schemas.microsoft.com/office/drawing/2014/main" id="{00000000-0008-0000-0500-0000022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18288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Reject H0</a:t>
              </a:r>
            </a:p>
          </xdr:txBody>
        </xdr:sp>
        <xdr:clientData/>
      </xdr:twoCellAnchor>
    </mc:Choice>
    <mc:Fallback/>
  </mc:AlternateContent>
  <xdr:twoCellAnchor editAs="oneCell">
    <xdr:from>
      <xdr:col>3</xdr:col>
      <xdr:colOff>41274</xdr:colOff>
      <xdr:row>7</xdr:row>
      <xdr:rowOff>120650</xdr:rowOff>
    </xdr:from>
    <xdr:to>
      <xdr:col>3</xdr:col>
      <xdr:colOff>1315507</xdr:colOff>
      <xdr:row>9</xdr:row>
      <xdr:rowOff>130175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66A9FF9-F525-D34D-A8EB-34107AEC11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08674" y="1898650"/>
          <a:ext cx="1274233" cy="517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1790700</xdr:colOff>
      <xdr:row>9</xdr:row>
      <xdr:rowOff>177800</xdr:rowOff>
    </xdr:from>
    <xdr:to>
      <xdr:col>11</xdr:col>
      <xdr:colOff>152400</xdr:colOff>
      <xdr:row>26</xdr:row>
      <xdr:rowOff>215900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A56F2A-01B9-214F-70D1-218FA45D2E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658100" y="2463800"/>
          <a:ext cx="4940300" cy="43561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16</xdr:row>
          <xdr:rowOff>25400</xdr:rowOff>
        </xdr:from>
        <xdr:to>
          <xdr:col>2</xdr:col>
          <xdr:colOff>965200</xdr:colOff>
          <xdr:row>16</xdr:row>
          <xdr:rowOff>254000</xdr:rowOff>
        </xdr:to>
        <xdr:sp macro="" textlink="">
          <xdr:nvSpPr>
            <xdr:cNvPr id="4097" name="Option Button 1" hidden="1">
              <a:extLst>
                <a:ext uri="{63B3BB69-23CF-44E3-9099-C40C66FF867C}">
                  <a14:compatExt spid="_x0000_s4097"/>
                </a:ext>
                <a:ext uri="{FF2B5EF4-FFF2-40B4-BE49-F238E27FC236}">
                  <a16:creationId xmlns:a16="http://schemas.microsoft.com/office/drawing/2014/main" id="{00000000-0008-0000-0600-000001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18288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Accept H0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17</xdr:row>
          <xdr:rowOff>25400</xdr:rowOff>
        </xdr:from>
        <xdr:to>
          <xdr:col>2</xdr:col>
          <xdr:colOff>939800</xdr:colOff>
          <xdr:row>17</xdr:row>
          <xdr:rowOff>254000</xdr:rowOff>
        </xdr:to>
        <xdr:sp macro="" textlink="">
          <xdr:nvSpPr>
            <xdr:cNvPr id="4098" name="Option Button 2" hidden="1">
              <a:extLst>
                <a:ext uri="{63B3BB69-23CF-44E3-9099-C40C66FF867C}">
                  <a14:compatExt spid="_x0000_s4098"/>
                </a:ext>
                <a:ext uri="{FF2B5EF4-FFF2-40B4-BE49-F238E27FC236}">
                  <a16:creationId xmlns:a16="http://schemas.microsoft.com/office/drawing/2014/main" id="{00000000-0008-0000-0600-000002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18288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Reject H0</a:t>
              </a:r>
            </a:p>
          </xdr:txBody>
        </xdr:sp>
        <xdr:clientData/>
      </xdr:twoCellAnchor>
    </mc:Choice>
    <mc:Fallback/>
  </mc:AlternateContent>
  <xdr:twoCellAnchor editAs="oneCell">
    <xdr:from>
      <xdr:col>3</xdr:col>
      <xdr:colOff>41274</xdr:colOff>
      <xdr:row>7</xdr:row>
      <xdr:rowOff>120650</xdr:rowOff>
    </xdr:from>
    <xdr:to>
      <xdr:col>3</xdr:col>
      <xdr:colOff>1315507</xdr:colOff>
      <xdr:row>9</xdr:row>
      <xdr:rowOff>130175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ED10DBB-4FB9-4E3B-9CF8-9303B62036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14874" y="1898650"/>
          <a:ext cx="1274233" cy="520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16</xdr:row>
          <xdr:rowOff>25400</xdr:rowOff>
        </xdr:from>
        <xdr:to>
          <xdr:col>2</xdr:col>
          <xdr:colOff>965200</xdr:colOff>
          <xdr:row>17</xdr:row>
          <xdr:rowOff>0</xdr:rowOff>
        </xdr:to>
        <xdr:sp macro="" textlink="">
          <xdr:nvSpPr>
            <xdr:cNvPr id="16385" name="Option Button 1" hidden="1">
              <a:extLst>
                <a:ext uri="{63B3BB69-23CF-44E3-9099-C40C66FF867C}">
                  <a14:compatExt spid="_x0000_s16385"/>
                </a:ext>
                <a:ext uri="{FF2B5EF4-FFF2-40B4-BE49-F238E27FC236}">
                  <a16:creationId xmlns:a16="http://schemas.microsoft.com/office/drawing/2014/main" id="{7F521F8F-DF38-714F-883B-5D7FBD24909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18288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Accept H0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17</xdr:row>
          <xdr:rowOff>25400</xdr:rowOff>
        </xdr:from>
        <xdr:to>
          <xdr:col>2</xdr:col>
          <xdr:colOff>939800</xdr:colOff>
          <xdr:row>18</xdr:row>
          <xdr:rowOff>2936</xdr:rowOff>
        </xdr:to>
        <xdr:sp macro="" textlink="">
          <xdr:nvSpPr>
            <xdr:cNvPr id="16386" name="Option Button 2" hidden="1">
              <a:extLst>
                <a:ext uri="{63B3BB69-23CF-44E3-9099-C40C66FF867C}">
                  <a14:compatExt spid="_x0000_s16386"/>
                </a:ext>
                <a:ext uri="{FF2B5EF4-FFF2-40B4-BE49-F238E27FC236}">
                  <a16:creationId xmlns:a16="http://schemas.microsoft.com/office/drawing/2014/main" id="{F0091003-0CDB-6749-BC3D-AEA8D862630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18288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Reject H0</a:t>
              </a:r>
            </a:p>
          </xdr:txBody>
        </xdr:sp>
        <xdr:clientData/>
      </xdr:twoCellAnchor>
    </mc:Choice>
    <mc:Fallback/>
  </mc:AlternateContent>
  <xdr:twoCellAnchor editAs="oneCell">
    <xdr:from>
      <xdr:col>3</xdr:col>
      <xdr:colOff>41274</xdr:colOff>
      <xdr:row>7</xdr:row>
      <xdr:rowOff>120650</xdr:rowOff>
    </xdr:from>
    <xdr:to>
      <xdr:col>3</xdr:col>
      <xdr:colOff>1315507</xdr:colOff>
      <xdr:row>9</xdr:row>
      <xdr:rowOff>130175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4F72FD-3FD3-F247-B733-917DD8366A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46674" y="1898650"/>
          <a:ext cx="1274233" cy="517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1896532</xdr:colOff>
      <xdr:row>1</xdr:row>
      <xdr:rowOff>101600</xdr:rowOff>
    </xdr:from>
    <xdr:to>
      <xdr:col>11</xdr:col>
      <xdr:colOff>193686</xdr:colOff>
      <xdr:row>12</xdr:row>
      <xdr:rowOff>220133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DC06E42-34D6-ACD8-A8D3-E002DCD12D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010399" y="355600"/>
          <a:ext cx="4884220" cy="29125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ctrlProp" Target="../ctrlProps/ctrlProp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3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ctrlProp" Target="../ctrlProps/ctrlProp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ctrlProp" Target="../ctrlProps/ctrlProp6.xml"/><Relationship Id="rId4" Type="http://schemas.openxmlformats.org/officeDocument/2006/relationships/ctrlProp" Target="../ctrlProps/ctrlProp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Relationship Id="rId5" Type="http://schemas.openxmlformats.org/officeDocument/2006/relationships/ctrlProp" Target="../ctrlProps/ctrlProp8.xml"/><Relationship Id="rId4" Type="http://schemas.openxmlformats.org/officeDocument/2006/relationships/ctrlProp" Target="../ctrlProps/ctrlProp7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9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5.xml"/><Relationship Id="rId4" Type="http://schemas.openxmlformats.org/officeDocument/2006/relationships/ctrlProp" Target="../ctrlProps/ctrlProp10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1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6.xml"/><Relationship Id="rId4" Type="http://schemas.openxmlformats.org/officeDocument/2006/relationships/ctrlProp" Target="../ctrlProps/ctrlProp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6B221-DE7D-4BCC-9FC8-7D63194B69CD}">
  <dimension ref="A1:E19"/>
  <sheetViews>
    <sheetView zoomScale="157" zoomScaleNormal="100" workbookViewId="0">
      <selection activeCell="A23" sqref="A23"/>
    </sheetView>
  </sheetViews>
  <sheetFormatPr baseColWidth="10" defaultColWidth="10.6640625" defaultRowHeight="15" x14ac:dyDescent="0.2"/>
  <cols>
    <col min="1" max="1" width="20.6640625" customWidth="1"/>
    <col min="2" max="2" width="11.83203125" style="2" bestFit="1" customWidth="1"/>
  </cols>
  <sheetData>
    <row r="1" spans="1:5" x14ac:dyDescent="0.2">
      <c r="A1" s="1" t="s">
        <v>3</v>
      </c>
      <c r="B1" s="2" t="s">
        <v>51</v>
      </c>
    </row>
    <row r="2" spans="1:5" x14ac:dyDescent="0.2">
      <c r="A2" s="3" t="s">
        <v>1</v>
      </c>
      <c r="B2" s="4">
        <f>_xlfn.NORM.S.DIST(-1.9, TRUE)</f>
        <v>2.87165598160018E-2</v>
      </c>
      <c r="D2" t="s">
        <v>45</v>
      </c>
    </row>
    <row r="3" spans="1:5" x14ac:dyDescent="0.2">
      <c r="A3" s="3" t="s">
        <v>0</v>
      </c>
      <c r="B3" s="4">
        <f>1-_xlfn.NORM.S.DIST(1.9, TRUE)</f>
        <v>2.8716559816001852E-2</v>
      </c>
    </row>
    <row r="4" spans="1:5" x14ac:dyDescent="0.2">
      <c r="A4" s="3" t="s">
        <v>2</v>
      </c>
      <c r="B4" s="5">
        <f>B2+B3</f>
        <v>5.7433119632003649E-2</v>
      </c>
      <c r="C4" t="s">
        <v>46</v>
      </c>
      <c r="D4" t="s">
        <v>43</v>
      </c>
    </row>
    <row r="5" spans="1:5" x14ac:dyDescent="0.2">
      <c r="D5" t="s">
        <v>44</v>
      </c>
    </row>
    <row r="6" spans="1:5" x14ac:dyDescent="0.2">
      <c r="A6" s="1" t="s">
        <v>49</v>
      </c>
      <c r="B6" s="2" t="s">
        <v>47</v>
      </c>
      <c r="C6" t="s">
        <v>50</v>
      </c>
    </row>
    <row r="7" spans="1:5" x14ac:dyDescent="0.2">
      <c r="A7" s="3" t="s">
        <v>5</v>
      </c>
      <c r="B7" s="4">
        <f>_xlfn.NORM.S.DIST(-0.63, TRUE)</f>
        <v>0.26434729211567748</v>
      </c>
      <c r="E7" t="s">
        <v>48</v>
      </c>
    </row>
    <row r="8" spans="1:5" x14ac:dyDescent="0.2">
      <c r="A8" s="3" t="s">
        <v>6</v>
      </c>
      <c r="B8" s="4">
        <f>_xlfn.NORM.S.DIST(-4.43, TRUE)</f>
        <v>4.7116544118972307E-6</v>
      </c>
    </row>
    <row r="9" spans="1:5" x14ac:dyDescent="0.2">
      <c r="A9" s="3" t="s">
        <v>7</v>
      </c>
      <c r="B9" s="5">
        <f>B7-B8</f>
        <v>0.26434258046126557</v>
      </c>
    </row>
    <row r="11" spans="1:5" x14ac:dyDescent="0.2">
      <c r="A11" s="1" t="s">
        <v>4</v>
      </c>
      <c r="B11" s="2" t="s">
        <v>52</v>
      </c>
    </row>
    <row r="12" spans="1:5" x14ac:dyDescent="0.2">
      <c r="A12" s="3" t="s">
        <v>9</v>
      </c>
      <c r="B12" s="4">
        <f>_xlfn.NORM.S.DIST(1.27, TRUE)</f>
        <v>0.89795768492518091</v>
      </c>
    </row>
    <row r="13" spans="1:5" x14ac:dyDescent="0.2">
      <c r="A13" s="3" t="s">
        <v>10</v>
      </c>
      <c r="B13" s="4">
        <f>_xlfn.NORM.S.DIST(-2.53, TRUE)</f>
        <v>5.7031263329506993E-3</v>
      </c>
    </row>
    <row r="14" spans="1:5" x14ac:dyDescent="0.2">
      <c r="A14" s="3" t="s">
        <v>8</v>
      </c>
      <c r="B14" s="5">
        <f>B12-B13</f>
        <v>0.89225455859223024</v>
      </c>
    </row>
    <row r="16" spans="1:5" x14ac:dyDescent="0.2">
      <c r="A16" s="1" t="s">
        <v>4</v>
      </c>
      <c r="B16" s="2" t="s">
        <v>53</v>
      </c>
    </row>
    <row r="17" spans="1:2" x14ac:dyDescent="0.2">
      <c r="A17" s="3" t="s">
        <v>12</v>
      </c>
      <c r="B17" s="4">
        <f>_xlfn.NORM.S.DIST(-0.8, TRUE)</f>
        <v>0.21185539858339661</v>
      </c>
    </row>
    <row r="18" spans="1:2" x14ac:dyDescent="0.2">
      <c r="A18" s="3" t="s">
        <v>13</v>
      </c>
      <c r="B18" s="4">
        <f>_xlfn.NORM.S.DIST(-5.6, TRUE)</f>
        <v>1.0717590258310892E-8</v>
      </c>
    </row>
    <row r="19" spans="1:2" x14ac:dyDescent="0.2">
      <c r="A19" s="3" t="s">
        <v>11</v>
      </c>
      <c r="B19" s="5">
        <f>B17-B18</f>
        <v>0.21185538786580635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51B62-71D7-E346-9A14-634F4ED64921}">
  <dimension ref="A1:G19"/>
  <sheetViews>
    <sheetView topLeftCell="A13" zoomScale="210" zoomScaleNormal="100" workbookViewId="0">
      <selection activeCell="B12" sqref="B12"/>
    </sheetView>
  </sheetViews>
  <sheetFormatPr baseColWidth="10" defaultColWidth="10.6640625" defaultRowHeight="15" x14ac:dyDescent="0.2"/>
  <cols>
    <col min="1" max="1" width="20.6640625" customWidth="1"/>
    <col min="2" max="2" width="11.83203125" style="2" bestFit="1" customWidth="1"/>
  </cols>
  <sheetData>
    <row r="1" spans="1:7" x14ac:dyDescent="0.2">
      <c r="A1" s="1" t="s">
        <v>3</v>
      </c>
      <c r="B1" s="2" t="s">
        <v>51</v>
      </c>
    </row>
    <row r="2" spans="1:7" x14ac:dyDescent="0.2">
      <c r="A2" s="3" t="s">
        <v>1</v>
      </c>
      <c r="B2" s="4">
        <f>_xlfn.NORM.S.DIST(-1.9, TRUE)</f>
        <v>2.87165598160018E-2</v>
      </c>
      <c r="D2" t="s">
        <v>45</v>
      </c>
    </row>
    <row r="3" spans="1:7" x14ac:dyDescent="0.2">
      <c r="A3" s="3" t="s">
        <v>0</v>
      </c>
      <c r="B3" s="4">
        <f>1-_xlfn.NORM.S.DIST(1.9, TRUE)</f>
        <v>2.8716559816001852E-2</v>
      </c>
    </row>
    <row r="4" spans="1:7" x14ac:dyDescent="0.2">
      <c r="A4" s="3" t="s">
        <v>2</v>
      </c>
      <c r="B4" s="5">
        <f>B2+B3</f>
        <v>5.7433119632003649E-2</v>
      </c>
      <c r="C4" t="s">
        <v>46</v>
      </c>
      <c r="D4" t="s">
        <v>43</v>
      </c>
    </row>
    <row r="5" spans="1:7" x14ac:dyDescent="0.2">
      <c r="D5" t="s">
        <v>44</v>
      </c>
    </row>
    <row r="6" spans="1:7" x14ac:dyDescent="0.2">
      <c r="A6" s="1" t="s">
        <v>49</v>
      </c>
      <c r="B6" s="2" t="s">
        <v>47</v>
      </c>
      <c r="C6" t="s">
        <v>50</v>
      </c>
    </row>
    <row r="7" spans="1:7" x14ac:dyDescent="0.2">
      <c r="A7" s="3" t="s">
        <v>5</v>
      </c>
      <c r="B7" s="4">
        <f>_xlfn.NORM.S.DIST(-0.63, TRUE)</f>
        <v>0.26434729211567748</v>
      </c>
      <c r="E7" t="s">
        <v>48</v>
      </c>
    </row>
    <row r="8" spans="1:7" x14ac:dyDescent="0.2">
      <c r="A8" s="3" t="s">
        <v>6</v>
      </c>
      <c r="B8" s="4">
        <f>_xlfn.NORM.S.DIST(-4.43, TRUE)</f>
        <v>4.7116544118972307E-6</v>
      </c>
    </row>
    <row r="9" spans="1:7" x14ac:dyDescent="0.2">
      <c r="A9" s="3" t="s">
        <v>7</v>
      </c>
      <c r="B9" s="5">
        <f>B7-B8</f>
        <v>0.26434258046126557</v>
      </c>
      <c r="G9" t="s">
        <v>74</v>
      </c>
    </row>
    <row r="10" spans="1:7" x14ac:dyDescent="0.2">
      <c r="G10" t="s">
        <v>75</v>
      </c>
    </row>
    <row r="11" spans="1:7" x14ac:dyDescent="0.2">
      <c r="A11" s="1" t="s">
        <v>4</v>
      </c>
      <c r="B11" s="2" t="s">
        <v>52</v>
      </c>
    </row>
    <row r="12" spans="1:7" x14ac:dyDescent="0.2">
      <c r="A12" s="3" t="s">
        <v>9</v>
      </c>
      <c r="B12" s="4">
        <f>_xlfn.NORM.S.DIST(1.27, TRUE)</f>
        <v>0.89795768492518091</v>
      </c>
    </row>
    <row r="13" spans="1:7" x14ac:dyDescent="0.2">
      <c r="A13" s="3" t="s">
        <v>10</v>
      </c>
      <c r="B13" s="4">
        <f>_xlfn.NORM.S.DIST(-2.53, TRUE)</f>
        <v>5.7031263329506993E-3</v>
      </c>
    </row>
    <row r="14" spans="1:7" x14ac:dyDescent="0.2">
      <c r="A14" s="3" t="s">
        <v>8</v>
      </c>
      <c r="B14" s="5">
        <f>B12-B13</f>
        <v>0.89225455859223024</v>
      </c>
    </row>
    <row r="16" spans="1:7" x14ac:dyDescent="0.2">
      <c r="A16" s="1" t="s">
        <v>4</v>
      </c>
      <c r="B16" s="2" t="s">
        <v>53</v>
      </c>
    </row>
    <row r="17" spans="1:2" x14ac:dyDescent="0.2">
      <c r="A17" s="3" t="s">
        <v>12</v>
      </c>
      <c r="B17" s="4">
        <f>_xlfn.NORM.S.DIST(-0.8, TRUE)</f>
        <v>0.21185539858339661</v>
      </c>
    </row>
    <row r="18" spans="1:2" x14ac:dyDescent="0.2">
      <c r="A18" s="3" t="s">
        <v>13</v>
      </c>
      <c r="B18" s="4">
        <f>_xlfn.NORM.S.DIST(-5.6, TRUE)</f>
        <v>1.0717590258310892E-8</v>
      </c>
    </row>
    <row r="19" spans="1:2" x14ac:dyDescent="0.2">
      <c r="A19" s="3" t="s">
        <v>11</v>
      </c>
      <c r="B19" s="5">
        <f>B17-B18</f>
        <v>0.21185538786580635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BE2AEE-E0A8-43D1-B1BA-2DE96725CAC7}">
  <dimension ref="A1:D19"/>
  <sheetViews>
    <sheetView topLeftCell="A6" zoomScale="111" zoomScaleNormal="100" workbookViewId="0">
      <selection activeCell="A18" sqref="A18:B19"/>
    </sheetView>
  </sheetViews>
  <sheetFormatPr baseColWidth="10" defaultColWidth="8.6640625" defaultRowHeight="20" customHeight="1" x14ac:dyDescent="0.2"/>
  <cols>
    <col min="1" max="1" width="32.6640625" customWidth="1"/>
    <col min="2" max="2" width="32.6640625" style="8" customWidth="1"/>
    <col min="3" max="3" width="32.6640625" customWidth="1"/>
  </cols>
  <sheetData>
    <row r="1" spans="1:4" ht="20" customHeight="1" x14ac:dyDescent="0.2">
      <c r="A1" s="6" t="s">
        <v>19</v>
      </c>
    </row>
    <row r="2" spans="1:4" ht="20" customHeight="1" x14ac:dyDescent="0.2">
      <c r="A2" t="s">
        <v>14</v>
      </c>
      <c r="B2" s="8" t="s">
        <v>22</v>
      </c>
      <c r="C2" t="s">
        <v>54</v>
      </c>
    </row>
    <row r="3" spans="1:4" ht="20" customHeight="1" x14ac:dyDescent="0.2">
      <c r="A3" t="s">
        <v>15</v>
      </c>
      <c r="B3" s="8" t="s">
        <v>20</v>
      </c>
    </row>
    <row r="4" spans="1:4" ht="20" customHeight="1" x14ac:dyDescent="0.2">
      <c r="A4" t="s">
        <v>16</v>
      </c>
      <c r="B4" s="8" t="s">
        <v>21</v>
      </c>
    </row>
    <row r="5" spans="1:4" ht="20" customHeight="1" x14ac:dyDescent="0.2">
      <c r="A5" t="s">
        <v>23</v>
      </c>
      <c r="B5" s="8">
        <v>0.05</v>
      </c>
    </row>
    <row r="6" spans="1:4" ht="20" customHeight="1" x14ac:dyDescent="0.2">
      <c r="A6" s="7" t="s">
        <v>24</v>
      </c>
      <c r="B6" s="8">
        <v>25</v>
      </c>
    </row>
    <row r="7" spans="1:4" ht="20" customHeight="1" x14ac:dyDescent="0.2">
      <c r="A7" s="7" t="s">
        <v>25</v>
      </c>
      <c r="B7" s="8">
        <v>2</v>
      </c>
    </row>
    <row r="8" spans="1:4" ht="20" customHeight="1" x14ac:dyDescent="0.2">
      <c r="A8" s="7" t="s">
        <v>55</v>
      </c>
      <c r="B8" s="8">
        <v>51.3</v>
      </c>
    </row>
    <row r="9" spans="1:4" ht="20" customHeight="1" x14ac:dyDescent="0.2">
      <c r="A9" t="s">
        <v>26</v>
      </c>
      <c r="B9" s="10">
        <f>(51.3-50)/(2/SQRT(25))</f>
        <v>3.2499999999999929</v>
      </c>
    </row>
    <row r="10" spans="1:4" ht="20" customHeight="1" x14ac:dyDescent="0.2">
      <c r="A10" s="7" t="s">
        <v>27</v>
      </c>
      <c r="B10" s="8">
        <f>B5/2</f>
        <v>2.5000000000000001E-2</v>
      </c>
    </row>
    <row r="11" spans="1:4" ht="20" customHeight="1" x14ac:dyDescent="0.2">
      <c r="A11" s="7" t="s">
        <v>28</v>
      </c>
      <c r="B11" s="9">
        <f>_xlfn.NORM.S.INV(0.975)</f>
        <v>1.9599639845400536</v>
      </c>
    </row>
    <row r="12" spans="1:4" ht="20" customHeight="1" x14ac:dyDescent="0.2">
      <c r="A12" t="s">
        <v>17</v>
      </c>
      <c r="B12" s="8" t="s">
        <v>30</v>
      </c>
      <c r="C12" s="8" t="s">
        <v>56</v>
      </c>
    </row>
    <row r="13" spans="1:4" ht="20" customHeight="1" x14ac:dyDescent="0.2">
      <c r="B13" t="s">
        <v>31</v>
      </c>
      <c r="C13" t="s">
        <v>56</v>
      </c>
    </row>
    <row r="14" spans="1:4" ht="20" customHeight="1" x14ac:dyDescent="0.2">
      <c r="A14" t="s">
        <v>29</v>
      </c>
      <c r="B14" s="23">
        <f>2*(1-_xlfn.NORM.S.DIST(B9, TRUE))</f>
        <v>1.1540500847815327E-3</v>
      </c>
      <c r="D14" t="s">
        <v>60</v>
      </c>
    </row>
    <row r="15" spans="1:4" ht="20" customHeight="1" x14ac:dyDescent="0.2">
      <c r="B15" s="9"/>
      <c r="C15" t="s">
        <v>59</v>
      </c>
    </row>
    <row r="16" spans="1:4" ht="20" customHeight="1" x14ac:dyDescent="0.2">
      <c r="A16" t="s">
        <v>18</v>
      </c>
    </row>
    <row r="18" spans="1:1" ht="20" customHeight="1" x14ac:dyDescent="0.2">
      <c r="A18" t="s">
        <v>57</v>
      </c>
    </row>
    <row r="19" spans="1:1" ht="20" customHeight="1" x14ac:dyDescent="0.2">
      <c r="A19" t="s">
        <v>58</v>
      </c>
    </row>
  </sheetData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0" r:id="rId3" name="Option Button 2">
              <controlPr defaultSize="0" autoFill="0" autoLine="0" autoPict="0">
                <anchor moveWithCells="1">
                  <from>
                    <xdr:col>1</xdr:col>
                    <xdr:colOff>12700</xdr:colOff>
                    <xdr:row>15</xdr:row>
                    <xdr:rowOff>25400</xdr:rowOff>
                  </from>
                  <to>
                    <xdr:col>1</xdr:col>
                    <xdr:colOff>965200</xdr:colOff>
                    <xdr:row>15</xdr:row>
                    <xdr:rowOff>254000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1" r:id="rId4" name="Option Button 3">
              <controlPr defaultSize="0" autoFill="0" autoLine="0" autoPict="0">
                <anchor moveWithCells="1">
                  <from>
                    <xdr:col>1</xdr:col>
                    <xdr:colOff>12700</xdr:colOff>
                    <xdr:row>16</xdr:row>
                    <xdr:rowOff>25400</xdr:rowOff>
                  </from>
                  <to>
                    <xdr:col>1</xdr:col>
                    <xdr:colOff>939800</xdr:colOff>
                    <xdr:row>16</xdr:row>
                    <xdr:rowOff>254000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963249-0C47-E749-90E2-4FB45BD7DFA4}">
  <dimension ref="A1:F35"/>
  <sheetViews>
    <sheetView topLeftCell="A20" zoomScale="86" zoomScaleNormal="100" workbookViewId="0">
      <selection activeCell="C36" sqref="C36"/>
    </sheetView>
  </sheetViews>
  <sheetFormatPr baseColWidth="10" defaultColWidth="8.6640625" defaultRowHeight="20" customHeight="1" x14ac:dyDescent="0.2"/>
  <cols>
    <col min="1" max="1" width="32.6640625" customWidth="1"/>
    <col min="2" max="2" width="32.6640625" style="8" customWidth="1"/>
    <col min="3" max="3" width="32.6640625" customWidth="1"/>
  </cols>
  <sheetData>
    <row r="1" spans="1:4" ht="20" customHeight="1" x14ac:dyDescent="0.2">
      <c r="A1" s="6" t="s">
        <v>19</v>
      </c>
    </row>
    <row r="2" spans="1:4" ht="20" customHeight="1" x14ac:dyDescent="0.2">
      <c r="A2" t="s">
        <v>14</v>
      </c>
      <c r="B2" s="8" t="s">
        <v>22</v>
      </c>
      <c r="C2" t="s">
        <v>54</v>
      </c>
    </row>
    <row r="3" spans="1:4" ht="20" customHeight="1" x14ac:dyDescent="0.2">
      <c r="A3" t="s">
        <v>15</v>
      </c>
      <c r="B3" s="8" t="s">
        <v>20</v>
      </c>
    </row>
    <row r="4" spans="1:4" ht="20" customHeight="1" x14ac:dyDescent="0.2">
      <c r="A4" t="s">
        <v>16</v>
      </c>
      <c r="B4" s="8" t="s">
        <v>21</v>
      </c>
    </row>
    <row r="5" spans="1:4" ht="20" customHeight="1" x14ac:dyDescent="0.2">
      <c r="A5" t="s">
        <v>23</v>
      </c>
      <c r="B5" s="8">
        <v>0.05</v>
      </c>
    </row>
    <row r="6" spans="1:4" ht="20" customHeight="1" x14ac:dyDescent="0.2">
      <c r="A6" s="7" t="s">
        <v>24</v>
      </c>
      <c r="B6" s="8">
        <v>25</v>
      </c>
    </row>
    <row r="7" spans="1:4" ht="20" customHeight="1" x14ac:dyDescent="0.2">
      <c r="A7" s="7" t="s">
        <v>25</v>
      </c>
      <c r="B7" s="8">
        <v>2</v>
      </c>
    </row>
    <row r="8" spans="1:4" ht="20" customHeight="1" x14ac:dyDescent="0.2">
      <c r="A8" s="7" t="s">
        <v>55</v>
      </c>
      <c r="B8" s="8">
        <v>51.3</v>
      </c>
    </row>
    <row r="9" spans="1:4" ht="20" customHeight="1" x14ac:dyDescent="0.2">
      <c r="A9" t="s">
        <v>26</v>
      </c>
      <c r="B9" s="10"/>
    </row>
    <row r="10" spans="1:4" ht="20" customHeight="1" x14ac:dyDescent="0.2">
      <c r="A10" s="7" t="s">
        <v>27</v>
      </c>
      <c r="B10" s="8">
        <f>B5/2</f>
        <v>2.5000000000000001E-2</v>
      </c>
    </row>
    <row r="11" spans="1:4" ht="20" customHeight="1" x14ac:dyDescent="0.2">
      <c r="A11" s="7" t="s">
        <v>28</v>
      </c>
      <c r="B11" s="9"/>
    </row>
    <row r="12" spans="1:4" ht="20" customHeight="1" x14ac:dyDescent="0.2">
      <c r="A12" t="s">
        <v>17</v>
      </c>
      <c r="B12" s="8" t="s">
        <v>30</v>
      </c>
      <c r="C12" s="8"/>
    </row>
    <row r="13" spans="1:4" ht="20" customHeight="1" x14ac:dyDescent="0.2">
      <c r="B13" t="s">
        <v>31</v>
      </c>
    </row>
    <row r="14" spans="1:4" ht="20" customHeight="1" x14ac:dyDescent="0.2">
      <c r="A14" t="s">
        <v>29</v>
      </c>
      <c r="B14" s="23">
        <f>2*(1-_xlfn.NORM.S.DIST(B9, TRUE))</f>
        <v>1</v>
      </c>
      <c r="D14" t="s">
        <v>60</v>
      </c>
    </row>
    <row r="15" spans="1:4" ht="20" customHeight="1" x14ac:dyDescent="0.2">
      <c r="B15" s="9"/>
      <c r="C15" t="s">
        <v>59</v>
      </c>
    </row>
    <row r="16" spans="1:4" ht="20" customHeight="1" x14ac:dyDescent="0.2">
      <c r="A16" t="s">
        <v>18</v>
      </c>
    </row>
    <row r="18" spans="1:6" ht="20" customHeight="1" x14ac:dyDescent="0.2">
      <c r="A18" t="s">
        <v>57</v>
      </c>
    </row>
    <row r="19" spans="1:6" ht="20" customHeight="1" x14ac:dyDescent="0.2">
      <c r="A19" t="s">
        <v>58</v>
      </c>
    </row>
    <row r="22" spans="1:6" ht="20" customHeight="1" x14ac:dyDescent="0.2">
      <c r="C22" t="s">
        <v>76</v>
      </c>
      <c r="D22" t="s">
        <v>82</v>
      </c>
      <c r="E22" t="s">
        <v>83</v>
      </c>
    </row>
    <row r="23" spans="1:6" ht="20" customHeight="1" x14ac:dyDescent="0.2">
      <c r="C23" t="s">
        <v>77</v>
      </c>
      <c r="D23" t="s">
        <v>84</v>
      </c>
      <c r="E23" t="s">
        <v>85</v>
      </c>
    </row>
    <row r="24" spans="1:6" ht="20" customHeight="1" x14ac:dyDescent="0.2">
      <c r="C24" t="s">
        <v>78</v>
      </c>
      <c r="D24" t="s">
        <v>86</v>
      </c>
      <c r="E24">
        <v>0.05</v>
      </c>
    </row>
    <row r="25" spans="1:6" ht="20" customHeight="1" x14ac:dyDescent="0.2">
      <c r="C25" t="s">
        <v>79</v>
      </c>
      <c r="D25" t="s">
        <v>87</v>
      </c>
      <c r="E25">
        <v>25</v>
      </c>
    </row>
    <row r="26" spans="1:6" ht="20" customHeight="1" x14ac:dyDescent="0.2">
      <c r="C26" t="s">
        <v>80</v>
      </c>
      <c r="D26" t="s">
        <v>88</v>
      </c>
      <c r="E26">
        <v>2</v>
      </c>
    </row>
    <row r="27" spans="1:6" ht="20" customHeight="1" x14ac:dyDescent="0.2">
      <c r="C27" t="s">
        <v>81</v>
      </c>
      <c r="D27" t="s">
        <v>90</v>
      </c>
      <c r="E27">
        <v>51.3</v>
      </c>
    </row>
    <row r="29" spans="1:6" ht="20" customHeight="1" x14ac:dyDescent="0.2">
      <c r="C29" t="s">
        <v>89</v>
      </c>
      <c r="D29">
        <f>(E27-50)/(E26/SQRT(E25))</f>
        <v>3.2499999999999929</v>
      </c>
    </row>
    <row r="30" spans="1:6" ht="20" customHeight="1" x14ac:dyDescent="0.2">
      <c r="C30" t="s">
        <v>91</v>
      </c>
      <c r="D30">
        <f>_xlfn.NORM.S.INV(0.05/2)</f>
        <v>-1.9599639845400538</v>
      </c>
      <c r="F30" t="s">
        <v>93</v>
      </c>
    </row>
    <row r="31" spans="1:6" ht="20" customHeight="1" x14ac:dyDescent="0.2">
      <c r="C31" t="s">
        <v>92</v>
      </c>
      <c r="D31">
        <f>_xlfn.NORM.S.INV(1-0.05/2)</f>
        <v>1.9599639845400536</v>
      </c>
    </row>
    <row r="32" spans="1:6" ht="20" customHeight="1" x14ac:dyDescent="0.2">
      <c r="C32" t="s">
        <v>94</v>
      </c>
      <c r="D32">
        <f>2*(1-_xlfn.NORM.S.DIST(ABS(D29),TRUE))</f>
        <v>1.1540500847815327E-3</v>
      </c>
    </row>
    <row r="33" spans="3:6" ht="20" customHeight="1" x14ac:dyDescent="0.2">
      <c r="C33" t="s">
        <v>86</v>
      </c>
      <c r="D33">
        <v>0.05</v>
      </c>
      <c r="F33" t="s">
        <v>95</v>
      </c>
    </row>
    <row r="35" spans="3:6" ht="20" customHeight="1" x14ac:dyDescent="0.2">
      <c r="C35" t="s">
        <v>96</v>
      </c>
    </row>
  </sheetData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9217" r:id="rId3" name="Option Button 1">
              <controlPr defaultSize="0" autoFill="0" autoLine="0" autoPict="0">
                <anchor moveWithCells="1">
                  <from>
                    <xdr:col>1</xdr:col>
                    <xdr:colOff>12700</xdr:colOff>
                    <xdr:row>15</xdr:row>
                    <xdr:rowOff>25400</xdr:rowOff>
                  </from>
                  <to>
                    <xdr:col>1</xdr:col>
                    <xdr:colOff>965200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18" r:id="rId4" name="Option Button 2">
              <controlPr defaultSize="0" autoFill="0" autoLine="0" autoPict="0">
                <anchor moveWithCells="1">
                  <from>
                    <xdr:col>1</xdr:col>
                    <xdr:colOff>12700</xdr:colOff>
                    <xdr:row>16</xdr:row>
                    <xdr:rowOff>25400</xdr:rowOff>
                  </from>
                  <to>
                    <xdr:col>1</xdr:col>
                    <xdr:colOff>939800</xdr:colOff>
                    <xdr:row>17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2775D8-508D-4202-BCB1-2E0E65629357}">
  <dimension ref="A1:E17"/>
  <sheetViews>
    <sheetView topLeftCell="A12" zoomScale="168" workbookViewId="0">
      <selection activeCell="B20" sqref="B20"/>
    </sheetView>
  </sheetViews>
  <sheetFormatPr baseColWidth="10" defaultColWidth="8.6640625" defaultRowHeight="20" customHeight="1" x14ac:dyDescent="0.2"/>
  <cols>
    <col min="1" max="1" width="20.6640625" style="14" customWidth="1"/>
    <col min="2" max="2" width="30.6640625" style="12" customWidth="1"/>
    <col min="3" max="3" width="25.6640625" style="13" customWidth="1"/>
    <col min="4" max="4" width="25.6640625" style="12" customWidth="1"/>
    <col min="5" max="16384" width="8.6640625" style="12"/>
  </cols>
  <sheetData>
    <row r="1" spans="1:5" ht="20" customHeight="1" x14ac:dyDescent="0.2">
      <c r="A1" s="11" t="s">
        <v>32</v>
      </c>
    </row>
    <row r="2" spans="1:5" ht="20" customHeight="1" x14ac:dyDescent="0.2">
      <c r="A2" s="14" t="s">
        <v>33</v>
      </c>
    </row>
    <row r="3" spans="1:5" ht="20" customHeight="1" x14ac:dyDescent="0.2">
      <c r="A3" s="14">
        <v>0.84109999999999996</v>
      </c>
      <c r="B3" s="15" t="s">
        <v>34</v>
      </c>
      <c r="C3" s="16">
        <f>AVERAGE(A3:A17)</f>
        <v>0.83723999999999998</v>
      </c>
    </row>
    <row r="4" spans="1:5" ht="20" customHeight="1" x14ac:dyDescent="0.2">
      <c r="A4" s="14">
        <v>0.81910000000000005</v>
      </c>
      <c r="B4" s="15" t="s">
        <v>35</v>
      </c>
      <c r="C4" s="16">
        <f>_xlfn.STDEV.S(A3:A17)</f>
        <v>2.4557099642611345E-2</v>
      </c>
    </row>
    <row r="5" spans="1:5" ht="20" customHeight="1" x14ac:dyDescent="0.2">
      <c r="A5" s="14">
        <v>0.81820000000000004</v>
      </c>
      <c r="B5" s="15" t="s">
        <v>36</v>
      </c>
      <c r="C5" s="17">
        <f>COUNT(A3:A17)</f>
        <v>15</v>
      </c>
    </row>
    <row r="6" spans="1:5" ht="20" customHeight="1" x14ac:dyDescent="0.2">
      <c r="A6" s="14">
        <v>0.8125</v>
      </c>
      <c r="C6" s="18"/>
    </row>
    <row r="7" spans="1:5" ht="20" customHeight="1" x14ac:dyDescent="0.2">
      <c r="A7" s="14">
        <v>0.875</v>
      </c>
      <c r="B7" s="15" t="s">
        <v>14</v>
      </c>
      <c r="C7" s="19" t="s">
        <v>22</v>
      </c>
    </row>
    <row r="8" spans="1:5" ht="20" customHeight="1" x14ac:dyDescent="0.2">
      <c r="A8" s="14">
        <v>0.85799999999999998</v>
      </c>
      <c r="B8" s="15" t="s">
        <v>15</v>
      </c>
      <c r="C8" s="19" t="s">
        <v>61</v>
      </c>
    </row>
    <row r="9" spans="1:5" ht="20" customHeight="1" x14ac:dyDescent="0.2">
      <c r="A9" s="14">
        <v>0.85319999999999996</v>
      </c>
      <c r="B9" s="15" t="s">
        <v>16</v>
      </c>
      <c r="C9" s="19" t="s">
        <v>62</v>
      </c>
      <c r="E9" s="12" t="s">
        <v>63</v>
      </c>
    </row>
    <row r="10" spans="1:5" ht="20" customHeight="1" x14ac:dyDescent="0.2">
      <c r="A10" s="14">
        <v>0.84830000000000005</v>
      </c>
      <c r="B10" s="15" t="s">
        <v>23</v>
      </c>
      <c r="C10" s="19">
        <v>0.05</v>
      </c>
    </row>
    <row r="11" spans="1:5" ht="20" customHeight="1" x14ac:dyDescent="0.2">
      <c r="A11" s="14">
        <v>0.8276</v>
      </c>
      <c r="B11" s="15" t="s">
        <v>37</v>
      </c>
      <c r="C11" s="16">
        <f>(C3-0.82)/(C4/SQRT(C5))</f>
        <v>2.7189787825251419</v>
      </c>
      <c r="D11" s="24" t="s">
        <v>66</v>
      </c>
    </row>
    <row r="12" spans="1:5" ht="20" customHeight="1" x14ac:dyDescent="0.2">
      <c r="A12" s="14">
        <v>0.79830000000000001</v>
      </c>
      <c r="B12" s="20" t="s">
        <v>38</v>
      </c>
      <c r="C12" s="21">
        <f>_xlfn.T.INV(1-C10, C5-1)</f>
        <v>1.7613101357748921</v>
      </c>
      <c r="D12" s="24" t="s">
        <v>65</v>
      </c>
    </row>
    <row r="13" spans="1:5" ht="20" customHeight="1" x14ac:dyDescent="0.2">
      <c r="A13" s="14">
        <v>0.80420000000000003</v>
      </c>
      <c r="B13" s="25" t="s">
        <v>17</v>
      </c>
      <c r="C13" s="19" t="s">
        <v>39</v>
      </c>
      <c r="D13" s="13" t="s">
        <v>56</v>
      </c>
    </row>
    <row r="14" spans="1:5" ht="20" customHeight="1" x14ac:dyDescent="0.2">
      <c r="A14" s="14">
        <v>0.873</v>
      </c>
      <c r="B14" s="26"/>
      <c r="C14" s="15" t="s">
        <v>31</v>
      </c>
      <c r="D14" s="12" t="s">
        <v>56</v>
      </c>
    </row>
    <row r="15" spans="1:5" ht="20" customHeight="1" x14ac:dyDescent="0.2">
      <c r="A15" s="14">
        <v>0.82820000000000005</v>
      </c>
      <c r="B15" s="15" t="s">
        <v>29</v>
      </c>
      <c r="C15" s="21">
        <f>1-_xlfn.T.DIST(C11, C5-1, TRUE)</f>
        <v>8.3133686815108909E-3</v>
      </c>
      <c r="D15" s="24" t="s">
        <v>64</v>
      </c>
    </row>
    <row r="16" spans="1:5" ht="20" customHeight="1" x14ac:dyDescent="0.2">
      <c r="A16" s="14">
        <v>0.83589999999999998</v>
      </c>
      <c r="C16" s="14"/>
    </row>
    <row r="17" spans="1:2" ht="20" customHeight="1" x14ac:dyDescent="0.2">
      <c r="A17" s="14">
        <v>0.86599999999999999</v>
      </c>
      <c r="B17" s="12" t="s">
        <v>18</v>
      </c>
    </row>
  </sheetData>
  <mergeCells count="1">
    <mergeCell ref="B13:B14"/>
  </mergeCells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073" r:id="rId4" name="Option Button 1">
              <controlPr defaultSize="0" autoFill="0" autoLine="0" autoPict="0">
                <anchor moveWithCells="1">
                  <from>
                    <xdr:col>2</xdr:col>
                    <xdr:colOff>12700</xdr:colOff>
                    <xdr:row>16</xdr:row>
                    <xdr:rowOff>25400</xdr:rowOff>
                  </from>
                  <to>
                    <xdr:col>2</xdr:col>
                    <xdr:colOff>965200</xdr:colOff>
                    <xdr:row>16</xdr:row>
                    <xdr:rowOff>254000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4" r:id="rId5" name="Option Button 2">
              <controlPr defaultSize="0" autoFill="0" autoLine="0" autoPict="0">
                <anchor moveWithCells="1">
                  <from>
                    <xdr:col>2</xdr:col>
                    <xdr:colOff>12700</xdr:colOff>
                    <xdr:row>17</xdr:row>
                    <xdr:rowOff>25400</xdr:rowOff>
                  </from>
                  <to>
                    <xdr:col>2</xdr:col>
                    <xdr:colOff>939800</xdr:colOff>
                    <xdr:row>17</xdr:row>
                    <xdr:rowOff>254000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BE9B35-1358-9C40-83B0-9657C8855D85}">
  <dimension ref="A1:G21"/>
  <sheetViews>
    <sheetView topLeftCell="A8" zoomScale="125" workbookViewId="0">
      <selection activeCell="B22" sqref="B22"/>
    </sheetView>
  </sheetViews>
  <sheetFormatPr baseColWidth="10" defaultColWidth="8.6640625" defaultRowHeight="20" customHeight="1" x14ac:dyDescent="0.2"/>
  <cols>
    <col min="1" max="1" width="20.6640625" style="14" customWidth="1"/>
    <col min="2" max="2" width="30.6640625" style="12" customWidth="1"/>
    <col min="3" max="3" width="25.6640625" style="13" customWidth="1"/>
    <col min="4" max="4" width="25.6640625" style="12" customWidth="1"/>
    <col min="5" max="16384" width="8.6640625" style="12"/>
  </cols>
  <sheetData>
    <row r="1" spans="1:7" ht="20" customHeight="1" x14ac:dyDescent="0.2">
      <c r="A1" s="11" t="s">
        <v>32</v>
      </c>
    </row>
    <row r="2" spans="1:7" ht="20" customHeight="1" x14ac:dyDescent="0.2">
      <c r="A2" s="14" t="s">
        <v>33</v>
      </c>
    </row>
    <row r="3" spans="1:7" ht="20" customHeight="1" x14ac:dyDescent="0.2">
      <c r="A3" s="14">
        <v>0.84109999999999996</v>
      </c>
      <c r="B3" s="15" t="s">
        <v>34</v>
      </c>
      <c r="C3" s="16">
        <f>AVERAGE(A3:A17)</f>
        <v>0.83723999999999998</v>
      </c>
    </row>
    <row r="4" spans="1:7" ht="20" customHeight="1" x14ac:dyDescent="0.2">
      <c r="A4" s="14">
        <v>0.81910000000000005</v>
      </c>
      <c r="B4" s="15" t="s">
        <v>35</v>
      </c>
      <c r="C4" s="16">
        <f>_xlfn.STDEV.S(A3:A17)</f>
        <v>2.4557099642611345E-2</v>
      </c>
    </row>
    <row r="5" spans="1:7" ht="20" customHeight="1" x14ac:dyDescent="0.2">
      <c r="A5" s="14">
        <v>0.81820000000000004</v>
      </c>
      <c r="B5" s="15" t="s">
        <v>36</v>
      </c>
      <c r="C5" s="17">
        <v>15</v>
      </c>
      <c r="E5" s="12" t="s">
        <v>98</v>
      </c>
      <c r="F5" s="12" t="s">
        <v>97</v>
      </c>
      <c r="G5" s="27">
        <f>C3</f>
        <v>0.83723999999999998</v>
      </c>
    </row>
    <row r="6" spans="1:7" ht="20" customHeight="1" x14ac:dyDescent="0.2">
      <c r="A6" s="14">
        <v>0.8125</v>
      </c>
      <c r="C6" s="18"/>
      <c r="E6" s="12" t="s">
        <v>99</v>
      </c>
      <c r="G6" s="12">
        <f>0.82</f>
        <v>0.82</v>
      </c>
    </row>
    <row r="7" spans="1:7" ht="20" customHeight="1" x14ac:dyDescent="0.2">
      <c r="A7" s="14">
        <v>0.875</v>
      </c>
      <c r="B7" s="15" t="s">
        <v>14</v>
      </c>
      <c r="C7" s="19" t="s">
        <v>22</v>
      </c>
      <c r="E7" s="12" t="s">
        <v>100</v>
      </c>
      <c r="G7" s="27">
        <f>C4</f>
        <v>2.4557099642611345E-2</v>
      </c>
    </row>
    <row r="8" spans="1:7" ht="20" customHeight="1" x14ac:dyDescent="0.2">
      <c r="A8" s="14">
        <v>0.85799999999999998</v>
      </c>
      <c r="B8" s="15" t="s">
        <v>15</v>
      </c>
      <c r="C8" s="19" t="s">
        <v>61</v>
      </c>
      <c r="E8" s="12" t="s">
        <v>101</v>
      </c>
      <c r="G8" s="28">
        <f>C5</f>
        <v>15</v>
      </c>
    </row>
    <row r="9" spans="1:7" ht="20" customHeight="1" x14ac:dyDescent="0.2">
      <c r="A9" s="14">
        <v>0.85319999999999996</v>
      </c>
      <c r="B9" s="15" t="s">
        <v>16</v>
      </c>
      <c r="C9" s="19" t="s">
        <v>62</v>
      </c>
      <c r="E9" s="12" t="s">
        <v>63</v>
      </c>
    </row>
    <row r="10" spans="1:7" ht="20" customHeight="1" x14ac:dyDescent="0.2">
      <c r="A10" s="14">
        <v>0.84830000000000005</v>
      </c>
      <c r="B10" s="15" t="s">
        <v>23</v>
      </c>
      <c r="C10" s="19">
        <v>0.05</v>
      </c>
    </row>
    <row r="11" spans="1:7" ht="20" customHeight="1" x14ac:dyDescent="0.2">
      <c r="A11" s="14">
        <v>0.8276</v>
      </c>
      <c r="B11" s="15" t="s">
        <v>37</v>
      </c>
      <c r="C11" s="16">
        <f>(C3-0.82)/(C4/SQRT(C5))</f>
        <v>2.7189787825251419</v>
      </c>
      <c r="D11" s="24"/>
    </row>
    <row r="12" spans="1:7" ht="20" customHeight="1" x14ac:dyDescent="0.2">
      <c r="A12" s="14">
        <v>0.79830000000000001</v>
      </c>
      <c r="B12" s="20" t="s">
        <v>102</v>
      </c>
      <c r="C12" s="21">
        <f>_xlfn.T.INV(1-C10, C5-1)</f>
        <v>1.7613101357748921</v>
      </c>
      <c r="D12" s="24"/>
    </row>
    <row r="13" spans="1:7" ht="20" customHeight="1" x14ac:dyDescent="0.2">
      <c r="A13" s="14">
        <v>0.80420000000000003</v>
      </c>
      <c r="B13" s="25" t="s">
        <v>103</v>
      </c>
      <c r="C13" s="19" t="s">
        <v>105</v>
      </c>
      <c r="D13" s="13" t="s">
        <v>56</v>
      </c>
    </row>
    <row r="14" spans="1:7" ht="20" customHeight="1" x14ac:dyDescent="0.2">
      <c r="A14" s="14">
        <v>0.873</v>
      </c>
      <c r="B14" s="26"/>
      <c r="C14" s="15" t="s">
        <v>104</v>
      </c>
      <c r="D14" s="12" t="s">
        <v>56</v>
      </c>
    </row>
    <row r="15" spans="1:7" ht="20" customHeight="1" x14ac:dyDescent="0.2">
      <c r="A15" s="14">
        <v>0.82820000000000005</v>
      </c>
      <c r="B15" s="15" t="s">
        <v>29</v>
      </c>
      <c r="C15" s="21">
        <f>1-_xlfn.T.DIST(C11, C5-1, TRUE)</f>
        <v>8.3133686815108909E-3</v>
      </c>
      <c r="D15" s="24"/>
    </row>
    <row r="16" spans="1:7" ht="20" customHeight="1" x14ac:dyDescent="0.2">
      <c r="A16" s="14">
        <v>0.83589999999999998</v>
      </c>
      <c r="C16" s="14"/>
    </row>
    <row r="17" spans="1:2" ht="20" customHeight="1" x14ac:dyDescent="0.2">
      <c r="A17" s="14">
        <v>0.86599999999999999</v>
      </c>
      <c r="B17" s="12" t="s">
        <v>18</v>
      </c>
    </row>
    <row r="20" spans="1:2" ht="20" customHeight="1" x14ac:dyDescent="0.2">
      <c r="B20" s="12" t="s">
        <v>106</v>
      </c>
    </row>
    <row r="21" spans="1:2" ht="20" customHeight="1" x14ac:dyDescent="0.2">
      <c r="B21" s="12" t="s">
        <v>107</v>
      </c>
    </row>
  </sheetData>
  <mergeCells count="1">
    <mergeCell ref="B13:B14"/>
  </mergeCells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41" r:id="rId4" name="Option Button 1">
              <controlPr defaultSize="0" autoFill="0" autoLine="0" autoPict="0">
                <anchor moveWithCells="1">
                  <from>
                    <xdr:col>2</xdr:col>
                    <xdr:colOff>12700</xdr:colOff>
                    <xdr:row>16</xdr:row>
                    <xdr:rowOff>25400</xdr:rowOff>
                  </from>
                  <to>
                    <xdr:col>2</xdr:col>
                    <xdr:colOff>965200</xdr:colOff>
                    <xdr:row>17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" r:id="rId5" name="Option Button 2">
              <controlPr defaultSize="0" autoFill="0" autoLine="0" autoPict="0">
                <anchor moveWithCells="1">
                  <from>
                    <xdr:col>2</xdr:col>
                    <xdr:colOff>12700</xdr:colOff>
                    <xdr:row>17</xdr:row>
                    <xdr:rowOff>25400</xdr:rowOff>
                  </from>
                  <to>
                    <xdr:col>2</xdr:col>
                    <xdr:colOff>939800</xdr:colOff>
                    <xdr:row>18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E11E96-8D00-4531-A440-8667193B6527}">
  <dimension ref="A1:D20"/>
  <sheetViews>
    <sheetView topLeftCell="A8" zoomScale="173" workbookViewId="0">
      <selection activeCell="B21" sqref="B21"/>
    </sheetView>
  </sheetViews>
  <sheetFormatPr baseColWidth="10" defaultColWidth="8.6640625" defaultRowHeight="20" customHeight="1" x14ac:dyDescent="0.2"/>
  <cols>
    <col min="1" max="1" width="5.6640625" style="14" customWidth="1"/>
    <col min="2" max="2" width="28.6640625" style="12" customWidth="1"/>
    <col min="3" max="3" width="32.6640625" style="13" customWidth="1"/>
    <col min="4" max="4" width="25.6640625" style="12" customWidth="1"/>
    <col min="5" max="16384" width="8.6640625" style="12"/>
  </cols>
  <sheetData>
    <row r="1" spans="1:4" ht="20" customHeight="1" x14ac:dyDescent="0.2">
      <c r="A1" s="11" t="s">
        <v>40</v>
      </c>
    </row>
    <row r="2" spans="1:4" ht="20" customHeight="1" x14ac:dyDescent="0.2">
      <c r="A2" s="12"/>
    </row>
    <row r="3" spans="1:4" ht="20" customHeight="1" x14ac:dyDescent="0.2">
      <c r="A3" s="12"/>
      <c r="B3" s="15" t="s">
        <v>34</v>
      </c>
      <c r="C3" s="17">
        <v>510</v>
      </c>
    </row>
    <row r="4" spans="1:4" ht="20" customHeight="1" x14ac:dyDescent="0.2">
      <c r="A4" s="12"/>
      <c r="B4" s="15" t="s">
        <v>36</v>
      </c>
      <c r="C4" s="17">
        <v>18</v>
      </c>
    </row>
    <row r="5" spans="1:4" ht="20" customHeight="1" x14ac:dyDescent="0.2">
      <c r="A5" s="12"/>
      <c r="B5" s="15" t="s">
        <v>35</v>
      </c>
      <c r="C5" s="17">
        <v>140</v>
      </c>
    </row>
    <row r="6" spans="1:4" ht="20" customHeight="1" x14ac:dyDescent="0.2">
      <c r="A6" s="12"/>
      <c r="C6" s="12"/>
    </row>
    <row r="7" spans="1:4" ht="20" customHeight="1" x14ac:dyDescent="0.2">
      <c r="A7" s="12"/>
      <c r="B7" s="15" t="s">
        <v>14</v>
      </c>
      <c r="C7" s="19" t="s">
        <v>22</v>
      </c>
    </row>
    <row r="8" spans="1:4" ht="20" customHeight="1" x14ac:dyDescent="0.2">
      <c r="A8" s="12"/>
      <c r="B8" s="15" t="s">
        <v>15</v>
      </c>
      <c r="C8" s="19" t="s">
        <v>67</v>
      </c>
    </row>
    <row r="9" spans="1:4" ht="20" customHeight="1" x14ac:dyDescent="0.2">
      <c r="A9" s="12"/>
      <c r="B9" s="15" t="s">
        <v>16</v>
      </c>
      <c r="C9" s="19" t="s">
        <v>69</v>
      </c>
    </row>
    <row r="10" spans="1:4" ht="20" customHeight="1" x14ac:dyDescent="0.2">
      <c r="A10" s="12"/>
      <c r="B10" s="15" t="s">
        <v>23</v>
      </c>
      <c r="C10" s="19">
        <v>0.01</v>
      </c>
    </row>
    <row r="11" spans="1:4" ht="20" customHeight="1" x14ac:dyDescent="0.2">
      <c r="A11" s="12"/>
      <c r="B11" s="15" t="s">
        <v>37</v>
      </c>
      <c r="C11" s="22">
        <f>(C3-500)/(C5/SQRT(C4))</f>
        <v>0.30304576336566319</v>
      </c>
    </row>
    <row r="12" spans="1:4" ht="20" customHeight="1" x14ac:dyDescent="0.2">
      <c r="A12" s="12"/>
      <c r="B12" s="20" t="s">
        <v>41</v>
      </c>
      <c r="C12" s="21">
        <f>_xlfn.T.INV(1-0.01/2, C4-1)</f>
        <v>2.8982305196774178</v>
      </c>
      <c r="D12" s="12" t="s">
        <v>71</v>
      </c>
    </row>
    <row r="13" spans="1:4" ht="20" customHeight="1" x14ac:dyDescent="0.2">
      <c r="A13" s="12"/>
      <c r="B13" s="25" t="s">
        <v>17</v>
      </c>
      <c r="C13" s="19" t="s">
        <v>42</v>
      </c>
      <c r="D13" s="13" t="s">
        <v>68</v>
      </c>
    </row>
    <row r="14" spans="1:4" ht="20" customHeight="1" x14ac:dyDescent="0.2">
      <c r="A14" s="12"/>
      <c r="B14" s="26"/>
      <c r="C14" s="15" t="s">
        <v>31</v>
      </c>
      <c r="D14" s="12" t="s">
        <v>68</v>
      </c>
    </row>
    <row r="15" spans="1:4" ht="20" customHeight="1" x14ac:dyDescent="0.2">
      <c r="A15" s="12"/>
      <c r="B15" s="15" t="s">
        <v>29</v>
      </c>
      <c r="C15" s="21">
        <f>2*(1-_xlfn.T.DIST(C11, C4-1, TRUE))</f>
        <v>0.76553202595584557</v>
      </c>
      <c r="D15" s="12" t="s">
        <v>70</v>
      </c>
    </row>
    <row r="16" spans="1:4" ht="20" customHeight="1" x14ac:dyDescent="0.2">
      <c r="A16" s="12"/>
      <c r="C16" s="14"/>
    </row>
    <row r="17" spans="1:3" ht="20" customHeight="1" x14ac:dyDescent="0.2">
      <c r="A17" s="12"/>
      <c r="B17" s="12" t="s">
        <v>18</v>
      </c>
    </row>
    <row r="18" spans="1:3" ht="20" customHeight="1" x14ac:dyDescent="0.2">
      <c r="A18" s="12"/>
    </row>
    <row r="19" spans="1:3" ht="20" customHeight="1" x14ac:dyDescent="0.2">
      <c r="A19" s="12"/>
      <c r="B19" t="s">
        <v>72</v>
      </c>
      <c r="C19" s="8"/>
    </row>
    <row r="20" spans="1:3" ht="20" customHeight="1" x14ac:dyDescent="0.2">
      <c r="B20" t="s">
        <v>73</v>
      </c>
      <c r="C20" s="8"/>
    </row>
  </sheetData>
  <mergeCells count="1">
    <mergeCell ref="B13:B14"/>
  </mergeCell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4097" r:id="rId3" name="Option Button 1">
              <controlPr defaultSize="0" autoFill="0" autoLine="0" autoPict="0">
                <anchor moveWithCells="1">
                  <from>
                    <xdr:col>2</xdr:col>
                    <xdr:colOff>12700</xdr:colOff>
                    <xdr:row>16</xdr:row>
                    <xdr:rowOff>25400</xdr:rowOff>
                  </from>
                  <to>
                    <xdr:col>2</xdr:col>
                    <xdr:colOff>965200</xdr:colOff>
                    <xdr:row>16</xdr:row>
                    <xdr:rowOff>254000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98" r:id="rId4" name="Option Button 2">
              <controlPr defaultSize="0" autoFill="0" autoLine="0" autoPict="0">
                <anchor moveWithCells="1">
                  <from>
                    <xdr:col>2</xdr:col>
                    <xdr:colOff>12700</xdr:colOff>
                    <xdr:row>17</xdr:row>
                    <xdr:rowOff>25400</xdr:rowOff>
                  </from>
                  <to>
                    <xdr:col>2</xdr:col>
                    <xdr:colOff>939800</xdr:colOff>
                    <xdr:row>17</xdr:row>
                    <xdr:rowOff>254000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71C9A-A110-2B46-BDDA-E183BDED00B1}">
  <dimension ref="A1:E20"/>
  <sheetViews>
    <sheetView tabSelected="1" topLeftCell="A2" zoomScale="150" workbookViewId="0">
      <selection activeCell="E17" sqref="E17"/>
    </sheetView>
  </sheetViews>
  <sheetFormatPr baseColWidth="10" defaultColWidth="8.6640625" defaultRowHeight="20" customHeight="1" x14ac:dyDescent="0.2"/>
  <cols>
    <col min="1" max="1" width="5.6640625" style="14" customWidth="1"/>
    <col min="2" max="2" width="28.6640625" style="12" customWidth="1"/>
    <col min="3" max="3" width="32.6640625" style="13" customWidth="1"/>
    <col min="4" max="4" width="25.6640625" style="12" customWidth="1"/>
    <col min="5" max="16384" width="8.6640625" style="12"/>
  </cols>
  <sheetData>
    <row r="1" spans="1:5" ht="20" customHeight="1" x14ac:dyDescent="0.2">
      <c r="A1" s="11" t="s">
        <v>40</v>
      </c>
    </row>
    <row r="2" spans="1:5" ht="20" customHeight="1" x14ac:dyDescent="0.2">
      <c r="A2" s="12"/>
    </row>
    <row r="3" spans="1:5" ht="20" customHeight="1" x14ac:dyDescent="0.2">
      <c r="A3" s="12"/>
      <c r="B3" s="15" t="s">
        <v>34</v>
      </c>
      <c r="C3" s="17">
        <v>510</v>
      </c>
      <c r="D3" s="12" t="s">
        <v>108</v>
      </c>
    </row>
    <row r="4" spans="1:5" ht="20" customHeight="1" x14ac:dyDescent="0.2">
      <c r="A4" s="12"/>
      <c r="B4" s="15" t="s">
        <v>36</v>
      </c>
      <c r="C4" s="17">
        <v>18</v>
      </c>
    </row>
    <row r="5" spans="1:5" ht="20" customHeight="1" x14ac:dyDescent="0.2">
      <c r="A5" s="12"/>
      <c r="B5" s="15" t="s">
        <v>35</v>
      </c>
      <c r="C5" s="17">
        <v>140</v>
      </c>
      <c r="D5" s="12" t="s">
        <v>109</v>
      </c>
    </row>
    <row r="6" spans="1:5" ht="20" customHeight="1" x14ac:dyDescent="0.2">
      <c r="A6" s="12"/>
      <c r="C6" s="12"/>
    </row>
    <row r="7" spans="1:5" ht="20" customHeight="1" x14ac:dyDescent="0.2">
      <c r="A7" s="12"/>
      <c r="B7" s="15" t="s">
        <v>14</v>
      </c>
      <c r="C7" s="19" t="s">
        <v>22</v>
      </c>
    </row>
    <row r="8" spans="1:5" ht="20" customHeight="1" x14ac:dyDescent="0.2">
      <c r="A8" s="12"/>
      <c r="B8" s="15" t="s">
        <v>15</v>
      </c>
      <c r="C8" s="19" t="s">
        <v>67</v>
      </c>
    </row>
    <row r="9" spans="1:5" ht="20" customHeight="1" x14ac:dyDescent="0.2">
      <c r="A9" s="12"/>
      <c r="B9" s="15" t="s">
        <v>16</v>
      </c>
      <c r="C9" s="19" t="s">
        <v>110</v>
      </c>
    </row>
    <row r="10" spans="1:5" ht="20" customHeight="1" x14ac:dyDescent="0.2">
      <c r="A10" s="12"/>
      <c r="B10" s="15" t="s">
        <v>23</v>
      </c>
      <c r="C10" s="19">
        <v>0.01</v>
      </c>
    </row>
    <row r="11" spans="1:5" ht="20" customHeight="1" x14ac:dyDescent="0.2">
      <c r="A11" s="12"/>
      <c r="B11" s="15" t="s">
        <v>37</v>
      </c>
      <c r="C11" s="22">
        <f>(C3-500)/(C5/SQRT(C4))</f>
        <v>0.30304576336566319</v>
      </c>
    </row>
    <row r="12" spans="1:5" ht="20" customHeight="1" x14ac:dyDescent="0.2">
      <c r="A12" s="12"/>
      <c r="B12" s="20" t="s">
        <v>112</v>
      </c>
      <c r="C12" s="21">
        <f>_xlfn.T.INV(C10/2, C4-1)</f>
        <v>-2.8982305196774178</v>
      </c>
      <c r="D12" s="12" t="s">
        <v>111</v>
      </c>
    </row>
    <row r="13" spans="1:5" ht="20" customHeight="1" x14ac:dyDescent="0.2">
      <c r="A13" s="12"/>
      <c r="B13" s="25" t="s">
        <v>17</v>
      </c>
      <c r="C13" s="19" t="s">
        <v>113</v>
      </c>
      <c r="D13" s="13" t="s">
        <v>68</v>
      </c>
    </row>
    <row r="14" spans="1:5" ht="20" customHeight="1" x14ac:dyDescent="0.2">
      <c r="A14" s="12"/>
      <c r="B14" s="26"/>
      <c r="C14" s="15" t="s">
        <v>104</v>
      </c>
      <c r="D14" s="12" t="s">
        <v>68</v>
      </c>
    </row>
    <row r="15" spans="1:5" ht="20" customHeight="1" x14ac:dyDescent="0.2">
      <c r="A15" s="12"/>
      <c r="B15" s="15" t="s">
        <v>29</v>
      </c>
      <c r="C15" s="21">
        <f>2*(1-_xlfn.T.DIST(ABS(C11), C4-1, TRUE))</f>
        <v>0.76553202595584557</v>
      </c>
    </row>
    <row r="16" spans="1:5" ht="20" customHeight="1" x14ac:dyDescent="0.2">
      <c r="A16" s="12"/>
      <c r="C16" s="14"/>
      <c r="D16" s="12" t="s">
        <v>116</v>
      </c>
      <c r="E16" s="12">
        <f>_xlfn.T.INV(C10/2, C4-1)</f>
        <v>-2.8982305196774178</v>
      </c>
    </row>
    <row r="17" spans="1:5" ht="20" customHeight="1" x14ac:dyDescent="0.2">
      <c r="A17" s="12"/>
      <c r="B17" s="12" t="s">
        <v>18</v>
      </c>
      <c r="D17" s="12" t="s">
        <v>117</v>
      </c>
      <c r="E17" s="12">
        <f>_xlfn.T.INV(1-C10/2, C4-1)</f>
        <v>2.8982305196774178</v>
      </c>
    </row>
    <row r="18" spans="1:5" ht="20" customHeight="1" x14ac:dyDescent="0.2">
      <c r="A18" s="12"/>
    </row>
    <row r="19" spans="1:5" ht="20" customHeight="1" x14ac:dyDescent="0.2">
      <c r="A19" s="12"/>
      <c r="B19" t="s">
        <v>114</v>
      </c>
      <c r="C19" s="8"/>
    </row>
    <row r="20" spans="1:5" ht="20" customHeight="1" x14ac:dyDescent="0.2">
      <c r="B20" s="29" t="s">
        <v>115</v>
      </c>
      <c r="C20" s="8"/>
    </row>
  </sheetData>
  <mergeCells count="1">
    <mergeCell ref="B13:B14"/>
  </mergeCell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6385" r:id="rId3" name="Option Button 1">
              <controlPr defaultSize="0" autoFill="0" autoLine="0" autoPict="0">
                <anchor moveWithCells="1">
                  <from>
                    <xdr:col>2</xdr:col>
                    <xdr:colOff>12700</xdr:colOff>
                    <xdr:row>16</xdr:row>
                    <xdr:rowOff>25400</xdr:rowOff>
                  </from>
                  <to>
                    <xdr:col>2</xdr:col>
                    <xdr:colOff>965200</xdr:colOff>
                    <xdr:row>17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86" r:id="rId4" name="Option Button 2">
              <controlPr defaultSize="0" autoFill="0" autoLine="0" autoPict="0">
                <anchor moveWithCells="1">
                  <from>
                    <xdr:col>2</xdr:col>
                    <xdr:colOff>12700</xdr:colOff>
                    <xdr:row>17</xdr:row>
                    <xdr:rowOff>25400</xdr:rowOff>
                  </from>
                  <to>
                    <xdr:col>2</xdr:col>
                    <xdr:colOff>939800</xdr:colOff>
                    <xdr:row>18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Sheet1</vt:lpstr>
      <vt:lpstr>Sheet1 practice</vt:lpstr>
      <vt:lpstr>Sheet2</vt:lpstr>
      <vt:lpstr>Sheet2 practice</vt:lpstr>
      <vt:lpstr>Sheet3</vt:lpstr>
      <vt:lpstr>Sheet3 practice</vt:lpstr>
      <vt:lpstr>Sheet4</vt:lpstr>
      <vt:lpstr>Sheet4 practice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NATHAN TANABORIBOON</cp:lastModifiedBy>
  <dcterms:created xsi:type="dcterms:W3CDTF">2022-06-03T14:59:21Z</dcterms:created>
  <dcterms:modified xsi:type="dcterms:W3CDTF">2026-07-03T10:48:35Z</dcterms:modified>
</cp:coreProperties>
</file>