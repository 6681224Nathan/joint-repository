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drawings/drawing3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drawings/drawing4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"/>
    </mc:Choice>
  </mc:AlternateContent>
  <xr:revisionPtr revIDLastSave="0" documentId="13_ncr:1_{7B16855A-23C7-C44C-B38F-C39A403317C9}" xr6:coauthVersionLast="47" xr6:coauthVersionMax="47" xr10:uidLastSave="{00000000-0000-0000-0000-000000000000}"/>
  <bookViews>
    <workbookView xWindow="0" yWindow="600" windowWidth="24080" windowHeight="13180" activeTab="4" xr2:uid="{C748285C-19E1-4F2D-927D-6F526C53A5E8}"/>
  </bookViews>
  <sheets>
    <sheet name="Sheet3" sheetId="7" r:id="rId1"/>
    <sheet name="Sheet4" sheetId="9" r:id="rId2"/>
    <sheet name="Sheet5" sheetId="8" r:id="rId3"/>
    <sheet name="Sheet6" sheetId="10" r:id="rId4"/>
    <sheet name="Sheet7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1" l="1"/>
  <c r="C12" i="11"/>
  <c r="C11" i="11"/>
  <c r="C5" i="11"/>
  <c r="C15" i="10"/>
  <c r="C12" i="10"/>
  <c r="C12" i="8"/>
  <c r="C11" i="10"/>
  <c r="C5" i="10"/>
  <c r="C5" i="8"/>
  <c r="C11" i="8"/>
  <c r="C12" i="9"/>
  <c r="C11" i="9"/>
  <c r="C10" i="9"/>
  <c r="C9" i="9"/>
  <c r="C11" i="7"/>
  <c r="C14" i="7"/>
  <c r="C10" i="7"/>
  <c r="C15" i="8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<sst xmlns="http://schemas.openxmlformats.org/spreadsheetml/2006/main" count="103" uniqueCount="56">
  <si>
    <t>Parameter of Interest</t>
  </si>
  <si>
    <t>Null Hypothesis</t>
  </si>
  <si>
    <t>Alternative Hypothesis</t>
  </si>
  <si>
    <t>Reject Region</t>
  </si>
  <si>
    <t>Accept/Reject Null Hypothesis</t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</si>
  <si>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</si>
  <si>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Test Statistic (Z0)</t>
  </si>
  <si>
    <t>P-value</t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</si>
  <si>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</si>
  <si>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Sample Size (n)</t>
  </si>
  <si>
    <t>Automated Filling</t>
  </si>
  <si>
    <r>
      <t>Sample Variance (s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</si>
  <si>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Popolation Variance (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Calibri"/>
        <family val="2"/>
        <scheme val="minor"/>
      </rPr>
      <t xml:space="preserve">) </t>
    </r>
  </si>
  <si>
    <r>
      <t>Test Statistic (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</si>
  <si>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</si>
  <si>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t xml:space="preserve">Reject H0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,n-1)</t>
    </r>
  </si>
  <si>
    <t>Automobile Engine Controller</t>
  </si>
  <si>
    <t>Number of Defects (x)</t>
  </si>
  <si>
    <t>Sample Proportion (p)</t>
  </si>
  <si>
    <t xml:space="preserve">Popolation Variance (P) </t>
  </si>
  <si>
    <r>
      <t>Reject H0 if Z0 &lt; -Z(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</si>
  <si>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  <scheme val="minor"/>
      </rPr>
      <t>Z</t>
    </r>
    <r>
      <rPr>
        <sz val="11"/>
        <color theme="1"/>
        <rFont val="Symbol"/>
        <family val="1"/>
        <charset val="2"/>
      </rPr>
      <t>(a)</t>
    </r>
  </si>
  <si>
    <t>Gear Diameter</t>
  </si>
  <si>
    <r>
      <t xml:space="preserve">H0: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Calibri"/>
        <family val="2"/>
        <scheme val="minor"/>
      </rPr>
      <t xml:space="preserve"> = 0.01</t>
    </r>
  </si>
  <si>
    <r>
      <t xml:space="preserve">H1: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Symbol"/>
        <family val="1"/>
        <charset val="2"/>
      </rPr>
      <t>¹</t>
    </r>
    <r>
      <rPr>
        <sz val="11"/>
        <color theme="1"/>
        <rFont val="Calibri"/>
        <family val="2"/>
        <scheme val="minor"/>
      </rPr>
      <t xml:space="preserve"> 0.01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</si>
  <si>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</si>
  <si>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>(1-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</rPr>
      <t>,n-1</t>
    </r>
    <r>
      <rPr>
        <sz val="11"/>
        <color theme="1"/>
        <rFont val="Calibri"/>
        <family val="2"/>
        <scheme val="minor"/>
      </rPr>
      <t>)</t>
    </r>
  </si>
  <si>
    <r>
      <t xml:space="preserve">Reject H0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Symbol"/>
        <family val="1"/>
        <charset val="2"/>
      </rPr>
      <t>a/2</t>
    </r>
    <r>
      <rPr>
        <sz val="11"/>
        <color theme="1"/>
        <rFont val="Calibri"/>
        <family val="2"/>
        <scheme val="minor"/>
      </rPr>
      <t xml:space="preserve">,n-1) or if </t>
    </r>
    <r>
      <rPr>
        <sz val="11"/>
        <color theme="1"/>
        <rFont val="Symbol"/>
        <family val="1"/>
        <charset val="2"/>
      </rPr>
      <t>c</t>
    </r>
    <r>
      <rPr>
        <vertAlign val="superscript"/>
        <sz val="11"/>
        <color theme="1"/>
        <rFont val="Symbol"/>
        <family val="1"/>
        <charset val="2"/>
      </rPr>
      <t>2</t>
    </r>
    <r>
      <rPr>
        <sz val="11"/>
        <color theme="1"/>
        <rFont val="Symbol"/>
        <family val="1"/>
        <charset val="2"/>
      </rPr>
      <t>&lt;c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(1-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 xml:space="preserve">/2,n-1) </t>
    </r>
  </si>
  <si>
    <t>Election</t>
  </si>
  <si>
    <r>
      <t xml:space="preserve">H1: </t>
    </r>
    <r>
      <rPr>
        <sz val="11"/>
        <color theme="1"/>
        <rFont val="Symbol"/>
        <family val="1"/>
        <charset val="2"/>
      </rPr>
      <t>s</t>
    </r>
    <r>
      <rPr>
        <vertAlign val="superscript"/>
        <sz val="11"/>
        <color theme="1"/>
        <rFont val="Calibri"/>
        <family val="2"/>
      </rPr>
      <t>2</t>
    </r>
    <r>
      <rPr>
        <sz val="11"/>
        <color theme="1"/>
        <rFont val="Calibri"/>
        <family val="2"/>
        <scheme val="minor"/>
      </rPr>
      <t xml:space="preserve"> &gt; 0.01</t>
    </r>
  </si>
  <si>
    <t>Accept</t>
  </si>
  <si>
    <t>We don't have a strong evidence to reject H0 at alpha 0.05</t>
  </si>
  <si>
    <t>The variance of the volume does not exceed 0.01. No problem about undefill and overfill.</t>
  </si>
  <si>
    <t>=CHISQ.DIST.RT(C10, C3-1)</t>
  </si>
  <si>
    <t>=CHISQ.INV.RT(C9, C3-1)</t>
  </si>
  <si>
    <t>sample std</t>
  </si>
  <si>
    <t>We have a strong evidence to reject H0 since ChiSqr is more than ChiSqr (1-alpha/2, n-1), such evidence is enough to conclude for the rejection</t>
  </si>
  <si>
    <t>Thus, the true variance is not equal to 0.01</t>
  </si>
  <si>
    <t>H0: P = 0.05</t>
  </si>
  <si>
    <t>H1: P  &lt; 0.05</t>
  </si>
  <si>
    <t>=NORM.S.DIST(C11, TRUE)</t>
  </si>
  <si>
    <t>=NORM.S.INV(C10)</t>
  </si>
  <si>
    <t>P-value seems to be distribution of test statistic, the z of null hypothesis</t>
  </si>
  <si>
    <t>Z(alpha) seems to be the distribution inverse of alpha</t>
  </si>
  <si>
    <t>H0: P = 0.6</t>
  </si>
  <si>
    <t>H1: P &gt; 0.6</t>
  </si>
  <si>
    <t>Reject H0 if Z0 &gt; Z(alpha)</t>
  </si>
  <si>
    <t>We don’t have strong enough evidence to reject the H0 at apha = 0.05</t>
  </si>
  <si>
    <r>
      <t>Significance Level (</t>
    </r>
    <r>
      <rPr>
        <sz val="11"/>
        <color rgb="FF000000"/>
        <rFont val="Symbol"/>
        <family val="1"/>
        <charset val="2"/>
      </rPr>
      <t>a</t>
    </r>
    <r>
      <rPr>
        <sz val="11"/>
        <color rgb="FF000000"/>
        <rFont val="Calibri"/>
        <family val="2"/>
        <scheme val="minor"/>
      </rPr>
      <t>)</t>
    </r>
  </si>
  <si>
    <t>H0: P = 0.5</t>
  </si>
  <si>
    <t>H1: P  != 0.5</t>
  </si>
  <si>
    <r>
      <t>Z</t>
    </r>
    <r>
      <rPr>
        <sz val="11"/>
        <color rgb="FF000000"/>
        <rFont val="Symbol"/>
        <family val="1"/>
        <charset val="2"/>
      </rPr>
      <t>(a/2)</t>
    </r>
  </si>
  <si>
    <t>Reject H0 if Z0 &gt; Z(a/2)</t>
  </si>
  <si>
    <t xml:space="preserve"> </t>
  </si>
  <si>
    <t>OR Z0 &lt; -Z(a/2)</t>
  </si>
  <si>
    <t>accept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</si>
</sst>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15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theme="1"/>
      <name val="Symbol"/>
      <family val="1"/>
      <charset val="2"/>
    </font>
    <font>
      <vertAlign val="superscript"/>
      <sz val="11"/>
      <color theme="1"/>
      <name val="Calibri"/>
      <family val="2"/>
    </font>
    <font>
      <sz val="11"/>
      <color theme="1"/>
      <name val="Calibri"/>
      <family val="1"/>
      <charset val="2"/>
      <scheme val="minor"/>
    </font>
    <font>
      <sz val="11"/>
      <color theme="1"/>
      <name val="Symbol"/>
      <family val="2"/>
      <charset val="2"/>
    </font>
    <font>
      <sz val="8"/>
      <color rgb="FF000000"/>
      <name val="Segoe UI"/>
      <charset val="1"/>
    </font>
    <font>
      <b/>
      <u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sz val="11"/>
      <color rgb="FF000000"/>
      <name val="Calibri"/>
      <family val="2"/>
    </font>
    <font>
      <sz val="14"/>
      <color rgb="FF000000"/>
      <name val="-webkit-standard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3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1" xfId="0" applyBorder="1" applyAlignment="1">
      <alignment vertical="center"/>
    </xf>
    <xf numFmtId="1" fontId="0" fillId="2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3" borderId="1" xfId="0" applyNumberFormat="1" applyFill="1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165" fontId="0" fillId="2" borderId="1" xfId="0" applyNumberForma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0" fillId="0" borderId="0" xfId="0" quotePrefix="1" applyAlignment="1">
      <alignment vertical="center"/>
    </xf>
    <xf numFmtId="164" fontId="10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1" xfId="0" applyFont="1" applyBorder="1" applyAlignment="1">
      <alignment vertical="center"/>
    </xf>
    <xf numFmtId="1" fontId="11" fillId="4" borderId="4" xfId="0" applyNumberFormat="1" applyFont="1" applyFill="1" applyBorder="1" applyAlignment="1">
      <alignment horizontal="left" vertical="center"/>
    </xf>
    <xf numFmtId="0" fontId="11" fillId="0" borderId="3" xfId="0" applyFont="1" applyBorder="1" applyAlignment="1">
      <alignment vertical="center"/>
    </xf>
    <xf numFmtId="1" fontId="11" fillId="4" borderId="5" xfId="0" applyNumberFormat="1" applyFont="1" applyFill="1" applyBorder="1" applyAlignment="1">
      <alignment horizontal="left" vertical="center"/>
    </xf>
    <xf numFmtId="164" fontId="11" fillId="4" borderId="5" xfId="0" applyNumberFormat="1" applyFont="1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3" fillId="0" borderId="6" xfId="0" applyFont="1" applyBorder="1" applyAlignment="1">
      <alignment vertical="center"/>
    </xf>
    <xf numFmtId="164" fontId="11" fillId="5" borderId="5" xfId="0" applyNumberFormat="1" applyFont="1" applyFill="1" applyBorder="1" applyAlignment="1">
      <alignment horizontal="left" vertical="center"/>
    </xf>
    <xf numFmtId="164" fontId="11" fillId="0" borderId="0" xfId="0" applyNumberFormat="1" applyFont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0" xfId="0" applyFont="1" applyFill="1" applyBorder="1" applyAlignment="1">
      <alignment vertical="center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Radio" checked="Checked" firstButton="1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firstButton="1" lockText="1" noThreeD="1"/>
</file>

<file path=xl/ctrlProps/ctrlProp4.xml><?xml version="1.0" encoding="utf-8"?>
<formControlPr xmlns="http://schemas.microsoft.com/office/spreadsheetml/2009/9/main" objectType="Radio" checked="Checked" lockText="1" noThreeD="1"/>
</file>

<file path=xl/ctrlProps/ctrlProp5.xml><?xml version="1.0" encoding="utf-8"?>
<formControlPr xmlns="http://schemas.microsoft.com/office/spreadsheetml/2009/9/main" objectType="Radio" firstButton="1" lockText="1" noThreeD="1"/>
</file>

<file path=xl/ctrlProps/ctrlProp6.xml><?xml version="1.0" encoding="utf-8"?>
<formControlPr xmlns="http://schemas.microsoft.com/office/spreadsheetml/2009/9/main" objectType="Radio" checked="Checked" lockText="1" noThreeD="1"/>
</file>

<file path=xl/ctrlProps/ctrlProp7.xml><?xml version="1.0" encoding="utf-8"?>
<formControlPr xmlns="http://schemas.microsoft.com/office/spreadsheetml/2009/9/main" objectType="Radio" checked="Checked" firstButton="1" lockText="1" noThreeD="1"/>
</file>

<file path=xl/ctrlProps/ctrlProp8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15</xdr:row>
          <xdr:rowOff>25400</xdr:rowOff>
        </xdr:from>
        <xdr:to>
          <xdr:col>2</xdr:col>
          <xdr:colOff>965200</xdr:colOff>
          <xdr:row>16</xdr:row>
          <xdr:rowOff>0</xdr:rowOff>
        </xdr:to>
        <xdr:sp macro="" textlink="">
          <xdr:nvSpPr>
            <xdr:cNvPr id="6145" name="Option Button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0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939800</xdr:colOff>
          <xdr:row>17</xdr:row>
          <xdr:rowOff>0</xdr:rowOff>
        </xdr:to>
        <xdr:sp macro="" textlink="">
          <xdr:nvSpPr>
            <xdr:cNvPr id="6146" name="Option Button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0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104775</xdr:colOff>
      <xdr:row>8</xdr:row>
      <xdr:rowOff>123825</xdr:rowOff>
    </xdr:from>
    <xdr:to>
      <xdr:col>3</xdr:col>
      <xdr:colOff>1285875</xdr:colOff>
      <xdr:row>10</xdr:row>
      <xdr:rowOff>85725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2025" y="2181225"/>
          <a:ext cx="11811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104775</xdr:colOff>
      <xdr:row>8</xdr:row>
      <xdr:rowOff>123825</xdr:rowOff>
    </xdr:from>
    <xdr:to>
      <xdr:col>5</xdr:col>
      <xdr:colOff>66675</xdr:colOff>
      <xdr:row>10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1800" y="2178050"/>
          <a:ext cx="1184275" cy="479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14</xdr:row>
          <xdr:rowOff>25400</xdr:rowOff>
        </xdr:from>
        <xdr:to>
          <xdr:col>2</xdr:col>
          <xdr:colOff>965200</xdr:colOff>
          <xdr:row>15</xdr:row>
          <xdr:rowOff>0</xdr:rowOff>
        </xdr:to>
        <xdr:sp macro="" textlink="">
          <xdr:nvSpPr>
            <xdr:cNvPr id="8193" name="Option Butto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1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15</xdr:row>
          <xdr:rowOff>25400</xdr:rowOff>
        </xdr:from>
        <xdr:to>
          <xdr:col>2</xdr:col>
          <xdr:colOff>939800</xdr:colOff>
          <xdr:row>16</xdr:row>
          <xdr:rowOff>0</xdr:rowOff>
        </xdr:to>
        <xdr:sp macro="" textlink="">
          <xdr:nvSpPr>
            <xdr:cNvPr id="8194" name="Option Button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1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17</xdr:row>
          <xdr:rowOff>1233</xdr:rowOff>
        </xdr:to>
        <xdr:sp macro="" textlink="">
          <xdr:nvSpPr>
            <xdr:cNvPr id="7169" name="Option Button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2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18</xdr:row>
          <xdr:rowOff>1233</xdr:rowOff>
        </xdr:to>
        <xdr:sp macro="" textlink="">
          <xdr:nvSpPr>
            <xdr:cNvPr id="7170" name="Option Button 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id="{00000000-0008-0000-0200-000002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139700</xdr:colOff>
      <xdr:row>9</xdr:row>
      <xdr:rowOff>46839</xdr:rowOff>
    </xdr:from>
    <xdr:to>
      <xdr:col>3</xdr:col>
      <xdr:colOff>1339850</xdr:colOff>
      <xdr:row>10</xdr:row>
      <xdr:rowOff>234950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6950" y="2104239"/>
          <a:ext cx="1203325" cy="4484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25400</xdr:rowOff>
        </xdr:from>
        <xdr:to>
          <xdr:col>2</xdr:col>
          <xdr:colOff>965200</xdr:colOff>
          <xdr:row>17</xdr:row>
          <xdr:rowOff>0</xdr:rowOff>
        </xdr:to>
        <xdr:sp macro="" textlink="">
          <xdr:nvSpPr>
            <xdr:cNvPr id="10241" name="Option Button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3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Accept H0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25400</xdr:rowOff>
        </xdr:from>
        <xdr:to>
          <xdr:col>2</xdr:col>
          <xdr:colOff>939800</xdr:colOff>
          <xdr:row>18</xdr:row>
          <xdr:rowOff>0</xdr:rowOff>
        </xdr:to>
        <xdr:sp macro="" textlink="">
          <xdr:nvSpPr>
            <xdr:cNvPr id="10242" name="Option Button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3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Reject H0</a:t>
              </a:r>
            </a:p>
          </xdr:txBody>
        </xdr:sp>
        <xdr:clientData/>
      </xdr:twoCellAnchor>
    </mc:Choice>
    <mc:Fallback/>
  </mc:AlternateContent>
  <xdr:twoCellAnchor editAs="oneCell">
    <xdr:from>
      <xdr:col>3</xdr:col>
      <xdr:colOff>139700</xdr:colOff>
      <xdr:row>9</xdr:row>
      <xdr:rowOff>46839</xdr:rowOff>
    </xdr:from>
    <xdr:to>
      <xdr:col>3</xdr:col>
      <xdr:colOff>1339850</xdr:colOff>
      <xdr:row>10</xdr:row>
      <xdr:rowOff>234950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0125" y="2364589"/>
          <a:ext cx="1200150" cy="4452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5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trlProp" Target="../ctrlProps/ctrlProp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trlProp" Target="../ctrlProps/ctrlProp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5B104-DA8B-44EC-B74B-098E491D9BD9}">
  <dimension ref="A1:D20"/>
  <sheetViews>
    <sheetView topLeftCell="A9" zoomScale="160" workbookViewId="0">
      <selection activeCell="C14" sqref="C14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10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20</v>
      </c>
    </row>
    <row r="4" spans="1:4" ht="20" customHeight="1">
      <c r="A4" s="2"/>
      <c r="B4" s="5" t="s">
        <v>11</v>
      </c>
      <c r="C4" s="9">
        <v>1.5299999999999999E-2</v>
      </c>
    </row>
    <row r="5" spans="1:4" ht="20" customHeight="1">
      <c r="A5" s="2"/>
      <c r="C5" s="2"/>
    </row>
    <row r="6" spans="1:4" ht="20" customHeight="1">
      <c r="A6" s="2"/>
      <c r="B6" s="5" t="s">
        <v>0</v>
      </c>
      <c r="C6" s="7" t="s">
        <v>12</v>
      </c>
    </row>
    <row r="7" spans="1:4" ht="20" customHeight="1">
      <c r="A7" s="2"/>
      <c r="B7" s="5" t="s">
        <v>1</v>
      </c>
      <c r="C7" s="7" t="s">
        <v>23</v>
      </c>
    </row>
    <row r="8" spans="1:4" ht="20" customHeight="1">
      <c r="A8" s="2"/>
      <c r="B8" s="5" t="s">
        <v>2</v>
      </c>
      <c r="C8" s="7" t="s">
        <v>29</v>
      </c>
    </row>
    <row r="9" spans="1:4" ht="20" customHeight="1">
      <c r="A9" s="2"/>
      <c r="B9" s="5" t="s">
        <v>5</v>
      </c>
      <c r="C9" s="18">
        <v>0.05</v>
      </c>
    </row>
    <row r="10" spans="1:4" ht="20" customHeight="1">
      <c r="A10" s="2"/>
      <c r="B10" s="5" t="s">
        <v>13</v>
      </c>
      <c r="C10" s="9">
        <f>(C3-1)*C4/0.01</f>
        <v>29.07</v>
      </c>
    </row>
    <row r="11" spans="1:4" ht="20" customHeight="1">
      <c r="A11" s="2"/>
      <c r="B11" s="10" t="s">
        <v>14</v>
      </c>
      <c r="C11" s="8">
        <f>_xlfn.CHISQ.INV.RT(C9, C3-1)</f>
        <v>30.143527205646155</v>
      </c>
      <c r="D11" s="19" t="s">
        <v>34</v>
      </c>
    </row>
    <row r="12" spans="1:4" ht="20" customHeight="1">
      <c r="A12" s="2"/>
      <c r="B12" s="16" t="s">
        <v>3</v>
      </c>
      <c r="C12" s="7" t="s">
        <v>15</v>
      </c>
      <c r="D12" s="3" t="s">
        <v>30</v>
      </c>
    </row>
    <row r="13" spans="1:4" ht="20" customHeight="1">
      <c r="A13" s="2"/>
      <c r="B13" s="17"/>
      <c r="C13" s="5" t="s">
        <v>8</v>
      </c>
      <c r="D13" s="2" t="s">
        <v>30</v>
      </c>
    </row>
    <row r="14" spans="1:4" ht="20" customHeight="1">
      <c r="A14" s="2"/>
      <c r="B14" s="5" t="s">
        <v>7</v>
      </c>
      <c r="C14" s="8">
        <f>_xlfn.CHISQ.DIST.RT(C10, C3-1)</f>
        <v>6.4892004939386794E-2</v>
      </c>
      <c r="D14" s="19" t="s">
        <v>33</v>
      </c>
    </row>
    <row r="15" spans="1:4" ht="20" customHeight="1">
      <c r="A15" s="2"/>
      <c r="C15" s="4"/>
    </row>
    <row r="16" spans="1:4" ht="20" customHeight="1">
      <c r="A16" s="2"/>
      <c r="B16" s="2" t="s">
        <v>4</v>
      </c>
    </row>
    <row r="17" spans="1:2" ht="20" customHeight="1">
      <c r="A17" s="2"/>
    </row>
    <row r="18" spans="1:2" ht="20" customHeight="1">
      <c r="A18" s="2"/>
    </row>
    <row r="19" spans="1:2" ht="20" customHeight="1">
      <c r="B19" s="2" t="s">
        <v>31</v>
      </c>
    </row>
    <row r="20" spans="1:2" ht="20" customHeight="1">
      <c r="B20" s="2" t="s">
        <v>32</v>
      </c>
    </row>
  </sheetData>
  <mergeCells count="1">
    <mergeCell ref="B12:B13"/>
  </mergeCells>
  <pageMargins left="0.7" right="0.7" top="0.75" bottom="0.75" header="0.3" footer="0.3"/>
  <pageSetup paperSize="9" orientation="portrait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15</xdr:row>
                    <xdr:rowOff>25400</xdr:rowOff>
                  </from>
                  <to>
                    <xdr:col>2</xdr:col>
                    <xdr:colOff>965200</xdr:colOff>
                    <xdr:row>15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939800</xdr:colOff>
                    <xdr:row>16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5C47-B0A6-42EC-B202-BF4B54B4F253}">
  <dimension ref="A1:E18"/>
  <sheetViews>
    <sheetView topLeftCell="A3" zoomScale="150" workbookViewId="0">
      <selection activeCell="B18" sqref="B18"/>
    </sheetView>
  </sheetViews>
  <sheetFormatPr baseColWidth="10" defaultColWidth="8.83203125" defaultRowHeight="20" customHeight="1"/>
  <cols>
    <col min="2" max="2" width="29.6640625" customWidth="1"/>
    <col min="3" max="3" width="43.83203125" bestFit="1" customWidth="1"/>
  </cols>
  <sheetData>
    <row r="1" spans="1:5" ht="20" customHeight="1">
      <c r="A1" s="1" t="s">
        <v>22</v>
      </c>
      <c r="B1" s="2"/>
      <c r="C1" s="3"/>
      <c r="D1" s="2"/>
    </row>
    <row r="2" spans="1:5" ht="20" customHeight="1">
      <c r="A2" s="2"/>
      <c r="B2" s="2"/>
      <c r="C2" s="3"/>
      <c r="D2" s="2"/>
    </row>
    <row r="3" spans="1:5" ht="20" customHeight="1">
      <c r="A3" s="2"/>
      <c r="B3" s="5" t="s">
        <v>9</v>
      </c>
      <c r="C3" s="6">
        <v>101</v>
      </c>
      <c r="D3" s="2"/>
    </row>
    <row r="4" spans="1:5" ht="20" customHeight="1">
      <c r="A4" s="2"/>
      <c r="B4" s="5" t="s">
        <v>11</v>
      </c>
      <c r="C4" s="15">
        <v>3.9690000000000001E-5</v>
      </c>
      <c r="D4" s="2" t="s">
        <v>35</v>
      </c>
      <c r="E4">
        <v>6.3E-3</v>
      </c>
    </row>
    <row r="5" spans="1:5" ht="20" customHeight="1">
      <c r="A5" s="2"/>
      <c r="B5" s="2"/>
      <c r="C5" s="2"/>
      <c r="D5" s="2"/>
    </row>
    <row r="6" spans="1:5" ht="20" customHeight="1">
      <c r="A6" s="2"/>
      <c r="B6" s="5" t="s">
        <v>0</v>
      </c>
      <c r="C6" s="7" t="s">
        <v>12</v>
      </c>
      <c r="D6" s="2"/>
    </row>
    <row r="7" spans="1:5" ht="20" customHeight="1">
      <c r="A7" s="2"/>
      <c r="B7" s="5" t="s">
        <v>1</v>
      </c>
      <c r="C7" s="7" t="s">
        <v>23</v>
      </c>
      <c r="D7" s="2"/>
    </row>
    <row r="8" spans="1:5" ht="20" customHeight="1">
      <c r="A8" s="2"/>
      <c r="B8" s="5" t="s">
        <v>2</v>
      </c>
      <c r="C8" s="7" t="s">
        <v>24</v>
      </c>
      <c r="D8" s="2"/>
    </row>
    <row r="9" spans="1:5" ht="20" customHeight="1">
      <c r="A9" s="2"/>
      <c r="B9" s="5" t="s">
        <v>5</v>
      </c>
      <c r="C9" s="7">
        <f>1-0.95</f>
        <v>5.0000000000000044E-2</v>
      </c>
      <c r="D9" s="2"/>
    </row>
    <row r="10" spans="1:5" ht="20" customHeight="1">
      <c r="A10" s="2"/>
      <c r="B10" s="5" t="s">
        <v>13</v>
      </c>
      <c r="C10" s="9">
        <f>(C3-1)*C4/0.01</f>
        <v>0.39690000000000003</v>
      </c>
      <c r="D10" s="2"/>
    </row>
    <row r="11" spans="1:5" ht="20" customHeight="1">
      <c r="A11" s="2"/>
      <c r="B11" s="10" t="s">
        <v>25</v>
      </c>
      <c r="C11" s="8">
        <f>_xlfn.CHISQ.INV.RT(C9/2, C3-1)</f>
        <v>129.56119718583659</v>
      </c>
      <c r="D11" s="2"/>
    </row>
    <row r="12" spans="1:5" ht="20" customHeight="1">
      <c r="A12" s="2"/>
      <c r="B12" s="10" t="s">
        <v>26</v>
      </c>
      <c r="C12" s="8">
        <f>_xlfn.CHISQ.INV.RT(1-C9/2, C3-1)</f>
        <v>74.221927474923731</v>
      </c>
      <c r="D12" s="2"/>
    </row>
    <row r="13" spans="1:5" ht="20" customHeight="1">
      <c r="A13" s="2"/>
      <c r="B13" s="7" t="s">
        <v>3</v>
      </c>
      <c r="C13" s="7" t="s">
        <v>27</v>
      </c>
      <c r="D13" s="3"/>
    </row>
    <row r="15" spans="1:5" ht="20" customHeight="1">
      <c r="B15" s="2" t="s">
        <v>4</v>
      </c>
      <c r="C15" s="3"/>
    </row>
    <row r="16" spans="1:5" ht="20" customHeight="1">
      <c r="B16" s="2"/>
      <c r="C16" s="3"/>
    </row>
    <row r="17" spans="2:2" ht="20" customHeight="1">
      <c r="B17" t="s">
        <v>36</v>
      </c>
    </row>
    <row r="18" spans="2:2" ht="20" customHeight="1">
      <c r="B18" t="s">
        <v>37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14</xdr:row>
                    <xdr:rowOff>25400</xdr:rowOff>
                  </from>
                  <to>
                    <xdr:col>2</xdr:col>
                    <xdr:colOff>965200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15</xdr:row>
                    <xdr:rowOff>25400</xdr:rowOff>
                  </from>
                  <to>
                    <xdr:col>2</xdr:col>
                    <xdr:colOff>939800</xdr:colOff>
                    <xdr:row>16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0F67-C83F-4E13-8CD1-9D5DF9EDC28E}">
  <dimension ref="A1:D19"/>
  <sheetViews>
    <sheetView zoomScale="75" workbookViewId="0">
      <selection sqref="A1:D18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16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200</v>
      </c>
    </row>
    <row r="4" spans="1:4" ht="20" customHeight="1">
      <c r="A4" s="2"/>
      <c r="B4" s="5" t="s">
        <v>17</v>
      </c>
      <c r="C4" s="6">
        <v>4</v>
      </c>
    </row>
    <row r="5" spans="1:4" ht="20" customHeight="1">
      <c r="A5" s="2"/>
      <c r="B5" s="5" t="s">
        <v>18</v>
      </c>
      <c r="C5" s="9">
        <f>C4/C3</f>
        <v>0.02</v>
      </c>
    </row>
    <row r="6" spans="1:4" ht="20" customHeight="1">
      <c r="A6" s="2"/>
      <c r="C6" s="2"/>
    </row>
    <row r="7" spans="1:4" ht="20" customHeight="1">
      <c r="A7" s="2"/>
      <c r="B7" s="5" t="s">
        <v>0</v>
      </c>
      <c r="C7" s="7" t="s">
        <v>19</v>
      </c>
    </row>
    <row r="8" spans="1:4" ht="20" customHeight="1">
      <c r="A8" s="2"/>
      <c r="B8" s="5" t="s">
        <v>1</v>
      </c>
      <c r="C8" s="7" t="s">
        <v>38</v>
      </c>
    </row>
    <row r="9" spans="1:4" ht="20" customHeight="1">
      <c r="A9" s="2"/>
      <c r="B9" s="5" t="s">
        <v>2</v>
      </c>
      <c r="C9" s="7" t="s">
        <v>39</v>
      </c>
    </row>
    <row r="10" spans="1:4" ht="20" customHeight="1">
      <c r="A10" s="2"/>
      <c r="B10" s="5" t="s">
        <v>5</v>
      </c>
      <c r="C10" s="7">
        <v>0.05</v>
      </c>
    </row>
    <row r="11" spans="1:4" ht="20" customHeight="1">
      <c r="A11" s="2"/>
      <c r="B11" s="5" t="s">
        <v>6</v>
      </c>
      <c r="C11" s="9">
        <f>(C5-0.05)/SQRT(0.05*(1-0.05)/C3)</f>
        <v>-1.9466570535691505</v>
      </c>
    </row>
    <row r="12" spans="1:4" ht="20" customHeight="1">
      <c r="A12" s="2"/>
      <c r="B12" s="11" t="s">
        <v>21</v>
      </c>
      <c r="C12" s="8">
        <f>_xlfn.NORM.S.INV(1-C10)</f>
        <v>1.6448536269514715</v>
      </c>
      <c r="D12" s="19" t="s">
        <v>41</v>
      </c>
    </row>
    <row r="13" spans="1:4" ht="20" customHeight="1">
      <c r="A13" s="2"/>
      <c r="B13" s="16" t="s">
        <v>3</v>
      </c>
      <c r="C13" s="12" t="s">
        <v>20</v>
      </c>
      <c r="D13" s="3" t="s">
        <v>43</v>
      </c>
    </row>
    <row r="14" spans="1:4" ht="20" customHeight="1">
      <c r="A14" s="2"/>
      <c r="B14" s="17"/>
      <c r="C14" s="14" t="s">
        <v>8</v>
      </c>
    </row>
    <row r="15" spans="1:4" ht="20" customHeight="1">
      <c r="A15" s="2"/>
      <c r="B15" s="13" t="s">
        <v>7</v>
      </c>
      <c r="C15" s="8">
        <f>_xlfn.NORM.S.DIST(C11, TRUE)</f>
        <v>2.5787931810438501E-2</v>
      </c>
      <c r="D15" s="19" t="s">
        <v>40</v>
      </c>
    </row>
    <row r="16" spans="1:4" ht="20" customHeight="1">
      <c r="A16" s="2"/>
      <c r="C16" s="4"/>
      <c r="D16" s="2" t="s">
        <v>42</v>
      </c>
    </row>
    <row r="17" spans="1:2" ht="20" customHeight="1">
      <c r="A17" s="2"/>
      <c r="B17" s="2" t="s">
        <v>4</v>
      </c>
    </row>
    <row r="18" spans="1:2" ht="20" customHeight="1">
      <c r="A18" s="2"/>
    </row>
    <row r="19" spans="1:2" ht="20" customHeight="1">
      <c r="A19" s="2"/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0754-77DE-4E76-80D9-837B5A5943EF}">
  <dimension ref="A1:D19"/>
  <sheetViews>
    <sheetView zoomScale="110" workbookViewId="0">
      <selection activeCell="C15" sqref="C15"/>
    </sheetView>
  </sheetViews>
  <sheetFormatPr baseColWidth="10" defaultColWidth="8.6640625" defaultRowHeight="20" customHeight="1"/>
  <cols>
    <col min="1" max="1" width="5.6640625" style="4" customWidth="1"/>
    <col min="2" max="2" width="28.6640625" style="2" customWidth="1"/>
    <col min="3" max="3" width="32.6640625" style="3" customWidth="1"/>
    <col min="4" max="4" width="25.6640625" style="2" customWidth="1"/>
    <col min="5" max="16384" width="8.6640625" style="2"/>
  </cols>
  <sheetData>
    <row r="1" spans="1:4" ht="20" customHeight="1">
      <c r="A1" s="1" t="s">
        <v>28</v>
      </c>
    </row>
    <row r="2" spans="1:4" ht="20" customHeight="1">
      <c r="A2" s="2"/>
    </row>
    <row r="3" spans="1:4" ht="20" customHeight="1">
      <c r="A3" s="2"/>
      <c r="B3" s="5" t="s">
        <v>9</v>
      </c>
      <c r="C3" s="6">
        <v>148</v>
      </c>
    </row>
    <row r="4" spans="1:4" ht="20" customHeight="1">
      <c r="A4" s="2"/>
      <c r="B4" s="5" t="s">
        <v>17</v>
      </c>
      <c r="C4" s="6">
        <v>92</v>
      </c>
    </row>
    <row r="5" spans="1:4" ht="20" customHeight="1">
      <c r="A5" s="2"/>
      <c r="B5" s="5" t="s">
        <v>18</v>
      </c>
      <c r="C5" s="9">
        <f>C4/C3</f>
        <v>0.6216216216216216</v>
      </c>
    </row>
    <row r="6" spans="1:4" ht="20" customHeight="1">
      <c r="A6" s="2"/>
      <c r="C6" s="2"/>
    </row>
    <row r="7" spans="1:4" ht="20" customHeight="1">
      <c r="A7" s="2"/>
      <c r="B7" s="5" t="s">
        <v>0</v>
      </c>
      <c r="C7" s="7" t="s">
        <v>19</v>
      </c>
    </row>
    <row r="8" spans="1:4" ht="20" customHeight="1">
      <c r="A8" s="2"/>
      <c r="B8" s="5" t="s">
        <v>1</v>
      </c>
      <c r="C8" s="7" t="s">
        <v>44</v>
      </c>
    </row>
    <row r="9" spans="1:4" ht="20" customHeight="1">
      <c r="A9" s="2"/>
      <c r="B9" s="5" t="s">
        <v>2</v>
      </c>
      <c r="C9" s="7" t="s">
        <v>45</v>
      </c>
    </row>
    <row r="10" spans="1:4" ht="20" customHeight="1">
      <c r="A10" s="2"/>
      <c r="B10" s="5" t="s">
        <v>5</v>
      </c>
      <c r="C10" s="7">
        <v>0.05</v>
      </c>
    </row>
    <row r="11" spans="1:4" ht="20" customHeight="1">
      <c r="A11" s="2"/>
      <c r="B11" s="5" t="s">
        <v>6</v>
      </c>
      <c r="C11" s="9">
        <f>(C5-0.6)/SQRT(0.6*(1-0.6)/C3)</f>
        <v>0.53692484417121955</v>
      </c>
    </row>
    <row r="12" spans="1:4" ht="20" customHeight="1">
      <c r="A12" s="2"/>
      <c r="B12" s="11" t="s">
        <v>21</v>
      </c>
      <c r="C12" s="8">
        <f>_xlfn.NORM.S.INV(1-C10)</f>
        <v>1.6448536269514715</v>
      </c>
    </row>
    <row r="13" spans="1:4" ht="20" customHeight="1">
      <c r="A13" s="2"/>
      <c r="B13" s="16" t="s">
        <v>3</v>
      </c>
      <c r="C13" s="12" t="s">
        <v>46</v>
      </c>
      <c r="D13" s="3"/>
    </row>
    <row r="14" spans="1:4" ht="20" customHeight="1">
      <c r="A14" s="2"/>
      <c r="B14" s="17"/>
      <c r="C14" s="14" t="s">
        <v>8</v>
      </c>
    </row>
    <row r="15" spans="1:4" ht="20" customHeight="1">
      <c r="A15" s="2"/>
      <c r="B15" s="13" t="s">
        <v>7</v>
      </c>
      <c r="C15" s="8">
        <f>1-_xlfn.NORM.S.DIST(C11, TRUE)</f>
        <v>0.29565976453295295</v>
      </c>
    </row>
    <row r="16" spans="1:4" ht="20" customHeight="1">
      <c r="A16" s="2"/>
      <c r="C16" s="4"/>
    </row>
    <row r="17" spans="1:2" ht="20" customHeight="1">
      <c r="A17" s="2"/>
      <c r="B17" s="2" t="s">
        <v>4</v>
      </c>
    </row>
    <row r="18" spans="1:2" ht="20" customHeight="1">
      <c r="A18" s="2"/>
    </row>
    <row r="19" spans="1:2" ht="20" customHeight="1">
      <c r="A19" s="2"/>
      <c r="B19" s="2" t="s">
        <v>47</v>
      </c>
    </row>
  </sheetData>
  <mergeCells count="1">
    <mergeCell ref="B13:B1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3" name="Option Button 1">
              <controlPr defaultSize="0" autoFill="0" autoLine="0" autoPict="0">
                <anchor moveWithCells="1">
                  <from>
                    <xdr:col>2</xdr:col>
                    <xdr:colOff>12700</xdr:colOff>
                    <xdr:row>16</xdr:row>
                    <xdr:rowOff>25400</xdr:rowOff>
                  </from>
                  <to>
                    <xdr:col>2</xdr:col>
                    <xdr:colOff>965200</xdr:colOff>
                    <xdr:row>16</xdr:row>
                    <xdr:rowOff>254000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4" name="Option Button 2">
              <controlPr defaultSize="0" autoFill="0" autoLine="0" autoPict="0">
                <anchor moveWithCells="1">
                  <from>
                    <xdr:col>2</xdr:col>
                    <xdr:colOff>12700</xdr:colOff>
                    <xdr:row>17</xdr:row>
                    <xdr:rowOff>25400</xdr:rowOff>
                  </from>
                  <to>
                    <xdr:col>2</xdr:col>
                    <xdr:colOff>939800</xdr:colOff>
                    <xdr:row>17</xdr:row>
                    <xdr:rowOff>254000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094A-1FF1-4573-B68E-97EA7F90A965}">
  <dimension ref="A1:E20"/>
  <sheetViews>
    <sheetView tabSelected="1" topLeftCell="A3" zoomScale="167" zoomScaleNormal="109" workbookViewId="0">
      <selection activeCell="E12" sqref="E12"/>
    </sheetView>
  </sheetViews>
  <sheetFormatPr baseColWidth="10" defaultColWidth="8.83203125" defaultRowHeight="15"/>
  <sheetData>
    <row r="1" spans="1:4">
      <c r="A1" s="20" t="s">
        <v>16</v>
      </c>
      <c r="B1" s="20"/>
      <c r="C1" s="21"/>
      <c r="D1" s="22"/>
    </row>
    <row r="2" spans="1:4">
      <c r="A2" s="22"/>
      <c r="B2" s="22"/>
      <c r="C2" s="21"/>
      <c r="D2" s="22"/>
    </row>
    <row r="3" spans="1:4">
      <c r="A3" s="22"/>
      <c r="B3" s="23" t="s">
        <v>9</v>
      </c>
      <c r="C3" s="24">
        <v>20</v>
      </c>
      <c r="D3" s="22"/>
    </row>
    <row r="4" spans="1:4">
      <c r="A4" s="22"/>
      <c r="B4" s="25" t="s">
        <v>17</v>
      </c>
      <c r="C4" s="26">
        <v>12</v>
      </c>
      <c r="D4" s="22"/>
    </row>
    <row r="5" spans="1:4">
      <c r="A5" s="22"/>
      <c r="B5" s="25" t="s">
        <v>18</v>
      </c>
      <c r="C5" s="27">
        <f>12/20</f>
        <v>0.6</v>
      </c>
      <c r="D5" s="22"/>
    </row>
    <row r="6" spans="1:4">
      <c r="A6" s="22"/>
      <c r="B6" s="22"/>
      <c r="C6" s="22"/>
      <c r="D6" s="22"/>
    </row>
    <row r="7" spans="1:4">
      <c r="A7" s="22"/>
      <c r="B7" s="23" t="s">
        <v>0</v>
      </c>
      <c r="C7" s="28" t="s">
        <v>19</v>
      </c>
      <c r="D7" s="22"/>
    </row>
    <row r="8" spans="1:4">
      <c r="A8" s="22"/>
      <c r="B8" s="25" t="s">
        <v>1</v>
      </c>
      <c r="C8" s="29" t="s">
        <v>49</v>
      </c>
      <c r="D8" s="22"/>
    </row>
    <row r="9" spans="1:4">
      <c r="A9" s="22"/>
      <c r="B9" s="25" t="s">
        <v>2</v>
      </c>
      <c r="C9" s="29" t="s">
        <v>50</v>
      </c>
      <c r="D9" s="22"/>
    </row>
    <row r="10" spans="1:4">
      <c r="A10" s="22"/>
      <c r="B10" s="25" t="s">
        <v>48</v>
      </c>
      <c r="C10" s="29">
        <v>0.05</v>
      </c>
      <c r="D10" s="22" t="e" vm="1">
        <v>#VALUE!</v>
      </c>
    </row>
    <row r="11" spans="1:4">
      <c r="A11" s="22"/>
      <c r="B11" s="25" t="s">
        <v>6</v>
      </c>
      <c r="C11" s="27">
        <f>(C5-0.5)/SQRT(0.5*(1-0.5)/C3)</f>
        <v>0.89442719099991574</v>
      </c>
      <c r="D11" s="22"/>
    </row>
    <row r="12" spans="1:4">
      <c r="A12" s="22"/>
      <c r="B12" s="30" t="s">
        <v>51</v>
      </c>
      <c r="C12" s="31">
        <f>_xlfn.NORM.S.INV(1-C10/2)</f>
        <v>1.9599639845400536</v>
      </c>
      <c r="D12" s="22"/>
    </row>
    <row r="13" spans="1:4">
      <c r="A13" s="22"/>
      <c r="B13" s="33" t="s">
        <v>3</v>
      </c>
      <c r="C13" s="29" t="s">
        <v>52</v>
      </c>
      <c r="D13" s="21"/>
    </row>
    <row r="14" spans="1:4" ht="18">
      <c r="A14" s="22"/>
      <c r="B14" s="34"/>
      <c r="C14" s="36" t="s">
        <v>54</v>
      </c>
      <c r="D14" s="22"/>
    </row>
    <row r="15" spans="1:4">
      <c r="A15" s="22"/>
      <c r="B15" s="25" t="s">
        <v>7</v>
      </c>
      <c r="C15" s="31">
        <f>2*(1-_xlfn.NORM.S.DIST(C11, TRUE))</f>
        <v>0.37109336952269767</v>
      </c>
      <c r="D15" s="22"/>
    </row>
    <row r="16" spans="1:4">
      <c r="A16" s="22"/>
      <c r="B16" s="22"/>
      <c r="C16" s="32"/>
      <c r="D16" s="22"/>
    </row>
    <row r="17" spans="1:5">
      <c r="A17" s="22"/>
      <c r="B17" s="22" t="s">
        <v>4</v>
      </c>
      <c r="C17" s="21"/>
      <c r="D17" s="22"/>
    </row>
    <row r="18" spans="1:5">
      <c r="A18" s="22"/>
      <c r="B18" s="22"/>
      <c r="C18" s="21"/>
      <c r="D18" s="22"/>
      <c r="E18" t="s">
        <v>55</v>
      </c>
    </row>
    <row r="20" spans="1:5">
      <c r="B20" s="35" t="s">
        <v>53</v>
      </c>
    </row>
  </sheetData>
  <mergeCells count="1">
    <mergeCell ref="B13:B14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2022-06-03T14:59:21Z</dcterms:created>
  <dcterms:modified xsi:type="dcterms:W3CDTF">2026-06-09T04:39:38Z</dcterms:modified>
</cp:coreProperties>
</file>