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pin\Desktop\joint-repository\stats for com eng\"/>
    </mc:Choice>
  </mc:AlternateContent>
  <xr:revisionPtr revIDLastSave="0" documentId="13_ncr:1_{F0185EB9-24CC-4CD0-88A0-384F0B3F3E16}" xr6:coauthVersionLast="47" xr6:coauthVersionMax="47" xr10:uidLastSave="{00000000-0000-0000-0000-000000000000}"/>
  <bookViews>
    <workbookView xWindow="1740" yWindow="1740" windowWidth="14400" windowHeight="7270" tabRatio="644" activeTab="1" xr2:uid="{8057F224-205E-4E24-B226-DD5FE849F11A}"/>
  </bookViews>
  <sheets>
    <sheet name="GolfDistance" sheetId="1" r:id="rId1"/>
    <sheet name="StatClass" sheetId="7" r:id="rId2"/>
    <sheet name="InflationRate" sheetId="2" r:id="rId3"/>
    <sheet name="Correlation" sheetId="3" r:id="rId4"/>
    <sheet name="Shampoo" sheetId="6" r:id="rId5"/>
    <sheet name="Ex-Corr" sheetId="4" r:id="rId6"/>
  </sheets>
  <definedNames>
    <definedName name="_xlchart.v1.0" hidden="1">GolfDistance!$A$1:$A$100</definedName>
    <definedName name="_xlchart.v1.1" hidden="1">GolfDistance!$A$1:$A$100</definedName>
    <definedName name="_xlchart.v1.2" hidden="1">StatClass!$B$2:$B$22</definedName>
    <definedName name="_xlchart.v1.3" hidden="1">StatClass!$B$2:$B$22</definedName>
    <definedName name="_xlchart.v1.4" hidden="1">StatClass!$B$2:$B$22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9" i="4"/>
  <c r="C7" i="4"/>
  <c r="B7" i="4"/>
  <c r="B38" i="3" l="1"/>
  <c r="B18" i="3"/>
  <c r="E12" i="7"/>
  <c r="E11" i="7"/>
  <c r="E10" i="7"/>
  <c r="E3" i="7"/>
  <c r="E9" i="7"/>
  <c r="E8" i="7"/>
  <c r="E7" i="7"/>
  <c r="E6" i="7"/>
  <c r="E4" i="7"/>
  <c r="E2" i="7"/>
  <c r="C3" i="1"/>
  <c r="C2" i="1"/>
</calcChain>
</file>

<file path=xl/sharedStrings.xml><?xml version="1.0" encoding="utf-8"?>
<sst xmlns="http://schemas.openxmlformats.org/spreadsheetml/2006/main" count="101" uniqueCount="70">
  <si>
    <t>median</t>
  </si>
  <si>
    <t>Q1</t>
  </si>
  <si>
    <t>Q3</t>
  </si>
  <si>
    <t>IQR</t>
  </si>
  <si>
    <t>Year</t>
  </si>
  <si>
    <t>Inflation</t>
  </si>
  <si>
    <t>No.</t>
  </si>
  <si>
    <t>Height</t>
  </si>
  <si>
    <t>Weight</t>
  </si>
  <si>
    <t>Average</t>
  </si>
  <si>
    <t>Correlation</t>
  </si>
  <si>
    <t>Name</t>
  </si>
  <si>
    <t>Age</t>
  </si>
  <si>
    <t>Buy</t>
  </si>
  <si>
    <t>Micheal</t>
  </si>
  <si>
    <t>Anna</t>
  </si>
  <si>
    <t>Tony</t>
  </si>
  <si>
    <t>James</t>
  </si>
  <si>
    <t>Tim</t>
  </si>
  <si>
    <t>Mark</t>
  </si>
  <si>
    <t>Bob</t>
  </si>
  <si>
    <t>Shiro</t>
  </si>
  <si>
    <t>Naruto</t>
  </si>
  <si>
    <t>Joy</t>
  </si>
  <si>
    <t>mean</t>
  </si>
  <si>
    <t>variance</t>
  </si>
  <si>
    <t>std</t>
  </si>
  <si>
    <t>1.5IQR</t>
  </si>
  <si>
    <t>LowerLimit</t>
  </si>
  <si>
    <t>UpperLimit</t>
  </si>
  <si>
    <t>Outlier</t>
  </si>
  <si>
    <t>Amily</t>
  </si>
  <si>
    <t>Janny</t>
  </si>
  <si>
    <t>Thomas</t>
  </si>
  <si>
    <t>June</t>
  </si>
  <si>
    <t>Kris</t>
  </si>
  <si>
    <t>Tommy</t>
  </si>
  <si>
    <t>Foam</t>
  </si>
  <si>
    <t>Scent</t>
  </si>
  <si>
    <t>Color</t>
  </si>
  <si>
    <t>Residue</t>
  </si>
  <si>
    <t>Region</t>
  </si>
  <si>
    <t>Quality</t>
  </si>
  <si>
    <t>Techo</t>
  </si>
  <si>
    <t>Lavish</t>
  </si>
  <si>
    <t>Kim</t>
  </si>
  <si>
    <t>Matt</t>
  </si>
  <si>
    <t>Pin</t>
  </si>
  <si>
    <t>Earth</t>
  </si>
  <si>
    <t>Phufah</t>
  </si>
  <si>
    <t>Thann</t>
  </si>
  <si>
    <t>Fluke</t>
  </si>
  <si>
    <t>Fuse</t>
  </si>
  <si>
    <t>Win</t>
  </si>
  <si>
    <t>Noon</t>
  </si>
  <si>
    <t>Jean</t>
  </si>
  <si>
    <t>Amy</t>
  </si>
  <si>
    <t>KJ</t>
  </si>
  <si>
    <t>Phu</t>
  </si>
  <si>
    <t>Aki</t>
  </si>
  <si>
    <t>Phin</t>
  </si>
  <si>
    <t>Bun</t>
  </si>
  <si>
    <t>Amro</t>
  </si>
  <si>
    <t>CORREL(B2:B17, C2:C17)</t>
  </si>
  <si>
    <t>Column 1</t>
  </si>
  <si>
    <t>Column 2</t>
  </si>
  <si>
    <t>Column 3</t>
  </si>
  <si>
    <t>Column 4</t>
  </si>
  <si>
    <t>Column 5</t>
  </si>
  <si>
    <t>Column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</si>
</sst>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/>
    <xf numFmtId="0" fontId="1" fillId="3" borderId="1" xfId="0" applyFont="1" applyFill="1" applyBorder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1" xfId="0" applyFill="1" applyBorder="1"/>
    <xf numFmtId="0" fontId="1" fillId="5" borderId="1" xfId="0" applyFont="1" applyFill="1" applyBorder="1"/>
    <xf numFmtId="0" fontId="1" fillId="0" borderId="0" xfId="0" applyFont="1"/>
    <xf numFmtId="0" fontId="0" fillId="6" borderId="1" xfId="0" applyFill="1" applyBorder="1"/>
    <xf numFmtId="0" fontId="1" fillId="7" borderId="1" xfId="0" applyFont="1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4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8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InflationRate!$A$2</c:f>
              <c:strCache>
                <c:ptCount val="1"/>
                <c:pt idx="0">
                  <c:v>Inflation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InflationRate!$B$1:$F$1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InflationRate!$B$2:$F$2</c:f>
              <c:numCache>
                <c:formatCode>0.00</c:formatCode>
                <c:ptCount val="5"/>
                <c:pt idx="0">
                  <c:v>0.55000000000000004</c:v>
                </c:pt>
                <c:pt idx="1">
                  <c:v>2.61</c:v>
                </c:pt>
                <c:pt idx="2">
                  <c:v>5.9</c:v>
                </c:pt>
                <c:pt idx="3">
                  <c:v>0.9</c:v>
                </c:pt>
                <c:pt idx="4">
                  <c:v>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2-4DB2-8CB7-8CF680AC71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51918176"/>
        <c:axId val="1451919136"/>
      </c:scatterChart>
      <c:valAx>
        <c:axId val="145191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19136"/>
        <c:crosses val="autoZero"/>
        <c:crossBetween val="midCat"/>
      </c:valAx>
      <c:valAx>
        <c:axId val="14519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91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Correlation!$B$2:$B$17</c:f>
              <c:numCache>
                <c:formatCode>General</c:formatCode>
                <c:ptCount val="16"/>
                <c:pt idx="0">
                  <c:v>28</c:v>
                </c:pt>
                <c:pt idx="1">
                  <c:v>32</c:v>
                </c:pt>
                <c:pt idx="2">
                  <c:v>25</c:v>
                </c:pt>
                <c:pt idx="3">
                  <c:v>32</c:v>
                </c:pt>
                <c:pt idx="4">
                  <c:v>21</c:v>
                </c:pt>
                <c:pt idx="5">
                  <c:v>25</c:v>
                </c:pt>
                <c:pt idx="6">
                  <c:v>22</c:v>
                </c:pt>
                <c:pt idx="7">
                  <c:v>25</c:v>
                </c:pt>
                <c:pt idx="8">
                  <c:v>35</c:v>
                </c:pt>
                <c:pt idx="9">
                  <c:v>32</c:v>
                </c:pt>
                <c:pt idx="10">
                  <c:v>28</c:v>
                </c:pt>
                <c:pt idx="11">
                  <c:v>23</c:v>
                </c:pt>
                <c:pt idx="12">
                  <c:v>26</c:v>
                </c:pt>
                <c:pt idx="13">
                  <c:v>25</c:v>
                </c:pt>
                <c:pt idx="14">
                  <c:v>28</c:v>
                </c:pt>
                <c:pt idx="15">
                  <c:v>20</c:v>
                </c:pt>
              </c:numCache>
            </c:numRef>
          </c:xVal>
          <c:yVal>
            <c:numRef>
              <c:f>Correlation!$C$2:$C$17</c:f>
              <c:numCache>
                <c:formatCode>General</c:formatCode>
                <c:ptCount val="16"/>
                <c:pt idx="0">
                  <c:v>1.2</c:v>
                </c:pt>
                <c:pt idx="1">
                  <c:v>2.2999999999999998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1.8</c:v>
                </c:pt>
                <c:pt idx="6">
                  <c:v>4</c:v>
                </c:pt>
                <c:pt idx="7">
                  <c:v>1.4</c:v>
                </c:pt>
                <c:pt idx="8">
                  <c:v>2</c:v>
                </c:pt>
                <c:pt idx="9">
                  <c:v>2.5</c:v>
                </c:pt>
                <c:pt idx="10">
                  <c:v>3.1</c:v>
                </c:pt>
                <c:pt idx="11">
                  <c:v>2.1</c:v>
                </c:pt>
                <c:pt idx="12">
                  <c:v>3.3</c:v>
                </c:pt>
                <c:pt idx="13">
                  <c:v>1.4</c:v>
                </c:pt>
                <c:pt idx="14">
                  <c:v>1.1000000000000001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6-452F-8D28-BEB71A7BE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432016"/>
        <c:axId val="1199432976"/>
      </c:scatterChart>
      <c:valAx>
        <c:axId val="119943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32976"/>
        <c:crosses val="autoZero"/>
        <c:crossBetween val="midCat"/>
      </c:valAx>
      <c:valAx>
        <c:axId val="11994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3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Correlation!$B$22:$B$37</c:f>
              <c:numCache>
                <c:formatCode>General</c:formatCode>
                <c:ptCount val="16"/>
                <c:pt idx="0">
                  <c:v>28</c:v>
                </c:pt>
                <c:pt idx="1">
                  <c:v>32</c:v>
                </c:pt>
                <c:pt idx="2">
                  <c:v>25</c:v>
                </c:pt>
                <c:pt idx="3">
                  <c:v>32</c:v>
                </c:pt>
                <c:pt idx="4">
                  <c:v>21</c:v>
                </c:pt>
                <c:pt idx="5">
                  <c:v>25</c:v>
                </c:pt>
                <c:pt idx="6">
                  <c:v>22</c:v>
                </c:pt>
                <c:pt idx="7">
                  <c:v>25</c:v>
                </c:pt>
                <c:pt idx="8">
                  <c:v>35</c:v>
                </c:pt>
                <c:pt idx="9">
                  <c:v>32</c:v>
                </c:pt>
                <c:pt idx="10">
                  <c:v>28</c:v>
                </c:pt>
                <c:pt idx="11">
                  <c:v>23</c:v>
                </c:pt>
                <c:pt idx="12">
                  <c:v>26</c:v>
                </c:pt>
                <c:pt idx="13">
                  <c:v>25</c:v>
                </c:pt>
                <c:pt idx="14">
                  <c:v>28</c:v>
                </c:pt>
                <c:pt idx="15">
                  <c:v>20</c:v>
                </c:pt>
              </c:numCache>
            </c:numRef>
          </c:xVal>
          <c:yVal>
            <c:numRef>
              <c:f>Correlation!$C$22:$C$37</c:f>
              <c:numCache>
                <c:formatCode>General</c:formatCode>
                <c:ptCount val="16"/>
                <c:pt idx="0">
                  <c:v>3</c:v>
                </c:pt>
                <c:pt idx="1">
                  <c:v>2.2999999999999998</c:v>
                </c:pt>
                <c:pt idx="2">
                  <c:v>3.1</c:v>
                </c:pt>
                <c:pt idx="3">
                  <c:v>2.2999999999999998</c:v>
                </c:pt>
                <c:pt idx="4">
                  <c:v>3.5</c:v>
                </c:pt>
                <c:pt idx="5">
                  <c:v>2.8</c:v>
                </c:pt>
                <c:pt idx="6">
                  <c:v>4</c:v>
                </c:pt>
                <c:pt idx="7">
                  <c:v>3.4</c:v>
                </c:pt>
                <c:pt idx="8">
                  <c:v>2</c:v>
                </c:pt>
                <c:pt idx="9">
                  <c:v>2.5</c:v>
                </c:pt>
                <c:pt idx="10">
                  <c:v>3.1</c:v>
                </c:pt>
                <c:pt idx="11">
                  <c:v>3.2</c:v>
                </c:pt>
                <c:pt idx="12">
                  <c:v>3.3</c:v>
                </c:pt>
                <c:pt idx="13">
                  <c:v>3.2</c:v>
                </c:pt>
                <c:pt idx="14">
                  <c:v>2.5</c:v>
                </c:pt>
                <c:pt idx="15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3-4E1C-B3A8-A0BD0546F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103760"/>
        <c:axId val="1727104720"/>
      </c:scatterChart>
      <c:valAx>
        <c:axId val="17271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104720"/>
        <c:crosses val="autoZero"/>
        <c:crossBetween val="midCat"/>
      </c:valAx>
      <c:valAx>
        <c:axId val="17271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10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A7C8AB0-4981-40E2-A153-5D8D77A76A9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BAE5F48-6DF0-4264-BCBE-0D866263AB2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CE5E2B8E-2386-41DA-960F-1D0C05AE3119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271030</xdr:colOff>
      <xdr:row>21</xdr:row>
      <xdr:rowOff>151823</xdr:rowOff>
    </xdr:from>
    <xdr:to>
      <xdr:col>9</xdr:col>
      <xdr:colOff>578139</xdr:colOff>
      <xdr:row>36</xdr:row>
      <xdr:rowOff>132773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36CF76-B9C0-9A25-BC91-73EB5B681D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4848" y="4031096"/>
              <a:ext cx="4590473" cy="2751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214458</xdr:colOff>
      <xdr:row>4</xdr:row>
      <xdr:rowOff>163368</xdr:rowOff>
    </xdr:from>
    <xdr:to>
      <xdr:col>9</xdr:col>
      <xdr:colOff>521567</xdr:colOff>
      <xdr:row>19</xdr:row>
      <xdr:rowOff>144318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2FA13EF-41F3-DCA8-14CA-1B69F93420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8276" y="902277"/>
              <a:ext cx="4590473" cy="2751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511175</xdr:colOff>
      <xdr:row>1</xdr:row>
      <xdr:rowOff>114300</xdr:rowOff>
    </xdr:from>
    <xdr:to>
      <xdr:col>13</xdr:col>
      <xdr:colOff>206375</xdr:colOff>
      <xdr:row>16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6AAB6C-A79F-DD03-DD58-36BF9C4D6A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9825" y="298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63500</xdr:rowOff>
    </xdr:from>
    <xdr:to>
      <xdr:col>7</xdr:col>
      <xdr:colOff>428625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802ED-CB8F-6E41-3E53-BC6E42FC7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2</xdr:row>
      <xdr:rowOff>82550</xdr:rowOff>
    </xdr:from>
    <xdr:to>
      <xdr:col>10</xdr:col>
      <xdr:colOff>581025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B071C-AFE8-0A40-C84B-CF85A8FE7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530225</xdr:colOff>
      <xdr:row>20</xdr:row>
      <xdr:rowOff>6350</xdr:rowOff>
    </xdr:from>
    <xdr:to>
      <xdr:col>11</xdr:col>
      <xdr:colOff>225425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82733D-27ED-5EB3-8F43-856B545A8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7A89-9D1D-4293-A7F5-1BEBAC3B5146}">
  <dimension ref="A1:U100"/>
  <sheetViews>
    <sheetView zoomScale="55" zoomScaleNormal="55" workbookViewId="0">
      <selection activeCell="P14" sqref="P14"/>
    </sheetView>
  </sheetViews>
  <sheetFormatPr defaultRowHeight="14.5" x14ac:dyDescent="0.35"/>
  <cols>
    <col min="1" max="1" width="8.7265625" style="6"/>
  </cols>
  <sheetData>
    <row r="1" spans="1:21" x14ac:dyDescent="0.35">
      <c r="A1" s="5">
        <v>291.5</v>
      </c>
      <c r="E1" s="1"/>
    </row>
    <row r="2" spans="1:21" x14ac:dyDescent="0.35">
      <c r="A2" s="5">
        <v>269.60000000000002</v>
      </c>
      <c r="C2">
        <f>COUNT(A1:A100)</f>
        <v>100</v>
      </c>
      <c r="E2" s="1"/>
    </row>
    <row r="3" spans="1:21" x14ac:dyDescent="0.35">
      <c r="A3" s="5">
        <v>270.7</v>
      </c>
      <c r="C3" s="1">
        <f>MAX(A1:A100)</f>
        <v>293.2</v>
      </c>
      <c r="E3" s="1"/>
    </row>
    <row r="4" spans="1:21" x14ac:dyDescent="0.35">
      <c r="A4" s="5">
        <v>277.5</v>
      </c>
      <c r="E4" s="1"/>
    </row>
    <row r="5" spans="1:21" x14ac:dyDescent="0.35">
      <c r="A5" s="5">
        <v>279</v>
      </c>
      <c r="E5" s="1"/>
    </row>
    <row r="6" spans="1:21" x14ac:dyDescent="0.35">
      <c r="A6" s="5">
        <v>267.8</v>
      </c>
      <c r="E6" s="1"/>
    </row>
    <row r="7" spans="1:21" x14ac:dyDescent="0.35">
      <c r="A7" s="5">
        <v>283.7</v>
      </c>
      <c r="E7" s="1"/>
    </row>
    <row r="8" spans="1:21" x14ac:dyDescent="0.35">
      <c r="A8" s="5">
        <v>271</v>
      </c>
      <c r="E8" s="1"/>
    </row>
    <row r="9" spans="1:21" x14ac:dyDescent="0.35">
      <c r="A9" s="5">
        <v>261.89999999999998</v>
      </c>
      <c r="E9" s="1"/>
    </row>
    <row r="10" spans="1:21" x14ac:dyDescent="0.35">
      <c r="A10" s="5">
        <v>282.60000000000002</v>
      </c>
      <c r="E10" s="1"/>
    </row>
    <row r="11" spans="1:21" x14ac:dyDescent="0.35">
      <c r="A11" s="5">
        <v>274.39999999999998</v>
      </c>
      <c r="E11" s="1"/>
    </row>
    <row r="12" spans="1:21" x14ac:dyDescent="0.35">
      <c r="A12" s="5">
        <v>266.60000000000002</v>
      </c>
      <c r="E12" s="1"/>
    </row>
    <row r="13" spans="1:21" x14ac:dyDescent="0.35">
      <c r="A13" s="5">
        <v>274</v>
      </c>
      <c r="E13" s="1"/>
      <c r="U13" s="1"/>
    </row>
    <row r="14" spans="1:21" x14ac:dyDescent="0.35">
      <c r="A14" s="5">
        <v>278</v>
      </c>
      <c r="E14" s="1"/>
      <c r="U14" s="1"/>
    </row>
    <row r="15" spans="1:21" x14ac:dyDescent="0.35">
      <c r="A15" s="5">
        <v>267.3</v>
      </c>
      <c r="E15" s="1"/>
    </row>
    <row r="16" spans="1:21" x14ac:dyDescent="0.35">
      <c r="A16" s="5">
        <v>272.10000000000002</v>
      </c>
      <c r="E16" s="1"/>
    </row>
    <row r="17" spans="1:5" x14ac:dyDescent="0.35">
      <c r="A17" s="5">
        <v>281.7</v>
      </c>
      <c r="E17" s="1"/>
    </row>
    <row r="18" spans="1:5" x14ac:dyDescent="0.35">
      <c r="A18" s="5">
        <v>271.5</v>
      </c>
      <c r="E18" s="1"/>
    </row>
    <row r="19" spans="1:5" x14ac:dyDescent="0.35">
      <c r="A19" s="5">
        <v>258.89999999999998</v>
      </c>
      <c r="E19" s="1"/>
    </row>
    <row r="20" spans="1:5" x14ac:dyDescent="0.35">
      <c r="A20" s="5">
        <v>270</v>
      </c>
      <c r="E20" s="1"/>
    </row>
    <row r="21" spans="1:5" x14ac:dyDescent="0.35">
      <c r="A21" s="5">
        <v>290.2</v>
      </c>
      <c r="E21" s="1"/>
    </row>
    <row r="22" spans="1:5" x14ac:dyDescent="0.35">
      <c r="A22" s="5">
        <v>283.60000000000002</v>
      </c>
      <c r="E22" s="1"/>
    </row>
    <row r="23" spans="1:5" x14ac:dyDescent="0.35">
      <c r="A23" s="5">
        <v>285.2</v>
      </c>
      <c r="E23" s="1"/>
    </row>
    <row r="24" spans="1:5" x14ac:dyDescent="0.35">
      <c r="A24" s="5">
        <v>272.5</v>
      </c>
      <c r="E24" s="1"/>
    </row>
    <row r="25" spans="1:5" x14ac:dyDescent="0.35">
      <c r="A25" s="5">
        <v>283.5</v>
      </c>
      <c r="E25" s="1"/>
    </row>
    <row r="26" spans="1:5" x14ac:dyDescent="0.35">
      <c r="A26" s="5">
        <v>269.7</v>
      </c>
      <c r="E26" s="1"/>
    </row>
    <row r="27" spans="1:5" x14ac:dyDescent="0.35">
      <c r="A27" s="5">
        <v>282.2</v>
      </c>
      <c r="E27" s="1"/>
    </row>
    <row r="28" spans="1:5" x14ac:dyDescent="0.35">
      <c r="A28" s="5">
        <v>289.7</v>
      </c>
      <c r="E28" s="1"/>
    </row>
    <row r="29" spans="1:5" x14ac:dyDescent="0.35">
      <c r="A29" s="5">
        <v>293.2</v>
      </c>
      <c r="E29" s="1"/>
    </row>
    <row r="30" spans="1:5" x14ac:dyDescent="0.35">
      <c r="A30" s="5">
        <v>265.2</v>
      </c>
      <c r="E30" s="1"/>
    </row>
    <row r="31" spans="1:5" x14ac:dyDescent="0.35">
      <c r="A31" s="5">
        <v>276.39999999999998</v>
      </c>
      <c r="E31" s="1"/>
    </row>
    <row r="32" spans="1:5" x14ac:dyDescent="0.35">
      <c r="A32" s="5">
        <v>269.60000000000002</v>
      </c>
      <c r="E32" s="1"/>
    </row>
    <row r="33" spans="1:5" x14ac:dyDescent="0.35">
      <c r="A33" s="5">
        <v>275.5</v>
      </c>
      <c r="E33" s="1"/>
    </row>
    <row r="34" spans="1:5" x14ac:dyDescent="0.35">
      <c r="A34" s="5">
        <v>271.7</v>
      </c>
      <c r="E34" s="1"/>
    </row>
    <row r="35" spans="1:5" x14ac:dyDescent="0.35">
      <c r="A35" s="5">
        <v>271.2</v>
      </c>
      <c r="E35" s="1"/>
    </row>
    <row r="36" spans="1:5" x14ac:dyDescent="0.35">
      <c r="A36" s="5">
        <v>278.5</v>
      </c>
      <c r="E36" s="1"/>
    </row>
    <row r="37" spans="1:5" x14ac:dyDescent="0.35">
      <c r="A37" s="5">
        <v>274.10000000000002</v>
      </c>
      <c r="E37" s="1"/>
    </row>
    <row r="38" spans="1:5" x14ac:dyDescent="0.35">
      <c r="A38" s="5">
        <v>271.10000000000002</v>
      </c>
      <c r="E38" s="1"/>
    </row>
    <row r="39" spans="1:5" x14ac:dyDescent="0.35">
      <c r="A39" s="5">
        <v>267.10000000000002</v>
      </c>
      <c r="E39" s="1"/>
    </row>
    <row r="40" spans="1:5" x14ac:dyDescent="0.35">
      <c r="A40" s="5">
        <v>277.7</v>
      </c>
      <c r="E40" s="1"/>
    </row>
    <row r="41" spans="1:5" x14ac:dyDescent="0.35">
      <c r="A41" s="5">
        <v>272</v>
      </c>
      <c r="E41" s="1"/>
    </row>
    <row r="42" spans="1:5" x14ac:dyDescent="0.35">
      <c r="A42" s="5">
        <v>277.8</v>
      </c>
      <c r="E42" s="1"/>
    </row>
    <row r="43" spans="1:5" x14ac:dyDescent="0.35">
      <c r="A43" s="5">
        <v>272.10000000000002</v>
      </c>
      <c r="E43" s="1"/>
    </row>
    <row r="44" spans="1:5" x14ac:dyDescent="0.35">
      <c r="A44" s="5">
        <v>280.8</v>
      </c>
      <c r="E44" s="1"/>
    </row>
    <row r="45" spans="1:5" x14ac:dyDescent="0.35">
      <c r="A45" s="5">
        <v>268.5</v>
      </c>
      <c r="E45" s="1"/>
    </row>
    <row r="46" spans="1:5" x14ac:dyDescent="0.35">
      <c r="A46" s="5">
        <v>277.3</v>
      </c>
      <c r="E46" s="1"/>
    </row>
    <row r="47" spans="1:5" x14ac:dyDescent="0.35">
      <c r="A47" s="5">
        <v>264.5</v>
      </c>
      <c r="E47" s="1"/>
    </row>
    <row r="48" spans="1:5" x14ac:dyDescent="0.35">
      <c r="A48" s="5">
        <v>256.89999999999998</v>
      </c>
      <c r="E48" s="1"/>
    </row>
    <row r="49" spans="1:5" x14ac:dyDescent="0.35">
      <c r="A49" s="5">
        <v>255</v>
      </c>
      <c r="E49" s="1"/>
    </row>
    <row r="50" spans="1:5" x14ac:dyDescent="0.35">
      <c r="A50" s="5">
        <v>275.5</v>
      </c>
      <c r="E50" s="1"/>
    </row>
    <row r="51" spans="1:5" x14ac:dyDescent="0.35">
      <c r="A51" s="5">
        <v>268.7</v>
      </c>
      <c r="E51" s="1"/>
    </row>
    <row r="52" spans="1:5" x14ac:dyDescent="0.35">
      <c r="A52" s="5">
        <v>287.8</v>
      </c>
      <c r="E52" s="1"/>
    </row>
    <row r="53" spans="1:5" x14ac:dyDescent="0.35">
      <c r="A53" s="5">
        <v>261.3</v>
      </c>
      <c r="E53" s="1"/>
    </row>
    <row r="54" spans="1:5" x14ac:dyDescent="0.35">
      <c r="A54" s="5">
        <v>265.60000000000002</v>
      </c>
      <c r="E54" s="1"/>
    </row>
    <row r="55" spans="1:5" x14ac:dyDescent="0.35">
      <c r="A55" s="5">
        <v>277.10000000000002</v>
      </c>
      <c r="E55" s="1"/>
    </row>
    <row r="56" spans="1:5" x14ac:dyDescent="0.35">
      <c r="A56" s="5">
        <v>280.5</v>
      </c>
      <c r="E56" s="1"/>
    </row>
    <row r="57" spans="1:5" x14ac:dyDescent="0.35">
      <c r="A57" s="5">
        <v>281</v>
      </c>
      <c r="E57" s="1"/>
    </row>
    <row r="58" spans="1:5" x14ac:dyDescent="0.35">
      <c r="A58" s="5">
        <v>274.5</v>
      </c>
      <c r="E58" s="1"/>
    </row>
    <row r="59" spans="1:5" x14ac:dyDescent="0.35">
      <c r="A59" s="5">
        <v>269.7</v>
      </c>
      <c r="E59" s="1"/>
    </row>
    <row r="60" spans="1:5" x14ac:dyDescent="0.35">
      <c r="A60" s="5">
        <v>272.2</v>
      </c>
      <c r="E60" s="1"/>
    </row>
    <row r="61" spans="1:5" x14ac:dyDescent="0.35">
      <c r="A61" s="5">
        <v>281.60000000000002</v>
      </c>
    </row>
    <row r="62" spans="1:5" x14ac:dyDescent="0.35">
      <c r="A62" s="5">
        <v>267.60000000000002</v>
      </c>
    </row>
    <row r="63" spans="1:5" x14ac:dyDescent="0.35">
      <c r="A63" s="5">
        <v>274</v>
      </c>
    </row>
    <row r="64" spans="1:5" x14ac:dyDescent="0.35">
      <c r="A64" s="5">
        <v>260.10000000000002</v>
      </c>
    </row>
    <row r="65" spans="1:1" x14ac:dyDescent="0.35">
      <c r="A65" s="5">
        <v>266.2</v>
      </c>
    </row>
    <row r="66" spans="1:1" x14ac:dyDescent="0.35">
      <c r="A66" s="5">
        <v>270.8</v>
      </c>
    </row>
    <row r="67" spans="1:1" x14ac:dyDescent="0.35">
      <c r="A67" s="5">
        <v>273.2</v>
      </c>
    </row>
    <row r="68" spans="1:1" x14ac:dyDescent="0.35">
      <c r="A68" s="5">
        <v>286.2</v>
      </c>
    </row>
    <row r="69" spans="1:1" x14ac:dyDescent="0.35">
      <c r="A69" s="5">
        <v>281.89999999999998</v>
      </c>
    </row>
    <row r="70" spans="1:1" x14ac:dyDescent="0.35">
      <c r="A70" s="5">
        <v>270</v>
      </c>
    </row>
    <row r="71" spans="1:1" x14ac:dyDescent="0.35">
      <c r="A71" s="5">
        <v>281.60000000000002</v>
      </c>
    </row>
    <row r="72" spans="1:1" x14ac:dyDescent="0.35">
      <c r="A72" s="5">
        <v>292.60000000000002</v>
      </c>
    </row>
    <row r="73" spans="1:1" x14ac:dyDescent="0.35">
      <c r="A73" s="5">
        <v>279.3</v>
      </c>
    </row>
    <row r="74" spans="1:1" x14ac:dyDescent="0.35">
      <c r="A74" s="5">
        <v>272.5</v>
      </c>
    </row>
    <row r="75" spans="1:1" x14ac:dyDescent="0.35">
      <c r="A75" s="5">
        <v>266.39999999999998</v>
      </c>
    </row>
    <row r="76" spans="1:1" x14ac:dyDescent="0.35">
      <c r="A76" s="5">
        <v>267.7</v>
      </c>
    </row>
    <row r="77" spans="1:1" x14ac:dyDescent="0.35">
      <c r="A77" s="5">
        <v>274.39999999999998</v>
      </c>
    </row>
    <row r="78" spans="1:1" x14ac:dyDescent="0.35">
      <c r="A78" s="5">
        <v>273.89999999999998</v>
      </c>
    </row>
    <row r="79" spans="1:1" x14ac:dyDescent="0.35">
      <c r="A79" s="5">
        <v>269.60000000000002</v>
      </c>
    </row>
    <row r="80" spans="1:1" x14ac:dyDescent="0.35">
      <c r="A80" s="5">
        <v>271</v>
      </c>
    </row>
    <row r="81" spans="1:1" x14ac:dyDescent="0.35">
      <c r="A81" s="5">
        <v>276.3</v>
      </c>
    </row>
    <row r="82" spans="1:1" x14ac:dyDescent="0.35">
      <c r="A82" s="5">
        <v>273.39999999999998</v>
      </c>
    </row>
    <row r="83" spans="1:1" x14ac:dyDescent="0.35">
      <c r="A83" s="5">
        <v>281</v>
      </c>
    </row>
    <row r="84" spans="1:1" x14ac:dyDescent="0.35">
      <c r="A84" s="5">
        <v>281.3</v>
      </c>
    </row>
    <row r="85" spans="1:1" x14ac:dyDescent="0.35">
      <c r="A85" s="5">
        <v>271.5</v>
      </c>
    </row>
    <row r="86" spans="1:1" x14ac:dyDescent="0.35">
      <c r="A86" s="5">
        <v>255.1</v>
      </c>
    </row>
    <row r="87" spans="1:1" x14ac:dyDescent="0.35">
      <c r="A87" s="5">
        <v>281.60000000000002</v>
      </c>
    </row>
    <row r="88" spans="1:1" x14ac:dyDescent="0.35">
      <c r="A88" s="5">
        <v>268.5</v>
      </c>
    </row>
    <row r="89" spans="1:1" x14ac:dyDescent="0.35">
      <c r="A89" s="5">
        <v>279.8</v>
      </c>
    </row>
    <row r="90" spans="1:1" x14ac:dyDescent="0.35">
      <c r="A90" s="5">
        <v>284.3</v>
      </c>
    </row>
    <row r="91" spans="1:1" x14ac:dyDescent="0.35">
      <c r="A91" s="5">
        <v>285.89999999999998</v>
      </c>
    </row>
    <row r="92" spans="1:1" x14ac:dyDescent="0.35">
      <c r="A92" s="5">
        <v>284.39999999999998</v>
      </c>
    </row>
    <row r="93" spans="1:1" x14ac:dyDescent="0.35">
      <c r="A93" s="5">
        <v>293.10000000000002</v>
      </c>
    </row>
    <row r="94" spans="1:1" x14ac:dyDescent="0.35">
      <c r="A94" s="5">
        <v>263</v>
      </c>
    </row>
    <row r="95" spans="1:1" x14ac:dyDescent="0.35">
      <c r="A95" s="5">
        <v>280.3</v>
      </c>
    </row>
    <row r="96" spans="1:1" x14ac:dyDescent="0.35">
      <c r="A96" s="5">
        <v>276.39999999999998</v>
      </c>
    </row>
    <row r="97" spans="1:1" x14ac:dyDescent="0.35">
      <c r="A97" s="5">
        <v>273.7</v>
      </c>
    </row>
    <row r="98" spans="1:1" x14ac:dyDescent="0.35">
      <c r="A98" s="5">
        <v>262.60000000000002</v>
      </c>
    </row>
    <row r="99" spans="1:1" x14ac:dyDescent="0.35">
      <c r="A99" s="5">
        <v>269.89999999999998</v>
      </c>
    </row>
    <row r="100" spans="1:1" x14ac:dyDescent="0.35">
      <c r="A100" s="5">
        <v>268.39999999999998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C271-7328-4E4E-92E3-70C7063BEE02}">
  <dimension ref="A1:E22"/>
  <sheetViews>
    <sheetView tabSelected="1" zoomScaleNormal="100" workbookViewId="0">
      <selection activeCell="E12" sqref="E12"/>
    </sheetView>
  </sheetViews>
  <sheetFormatPr defaultRowHeight="14.5" x14ac:dyDescent="0.35"/>
  <cols>
    <col min="4" max="4" width="10.453125" bestFit="1" customWidth="1"/>
  </cols>
  <sheetData>
    <row r="1" spans="1:5" x14ac:dyDescent="0.35">
      <c r="A1" s="24" t="s">
        <v>11</v>
      </c>
      <c r="B1" s="24" t="s">
        <v>7</v>
      </c>
    </row>
    <row r="2" spans="1:5" x14ac:dyDescent="0.35">
      <c r="A2" s="25" t="s">
        <v>43</v>
      </c>
      <c r="B2" s="25">
        <v>173</v>
      </c>
      <c r="D2" s="11" t="s">
        <v>24</v>
      </c>
      <c r="E2" s="10">
        <f>AVERAGE(B2:B22)</f>
        <v>171.57142857142858</v>
      </c>
    </row>
    <row r="3" spans="1:5" x14ac:dyDescent="0.35">
      <c r="A3" s="25" t="s">
        <v>44</v>
      </c>
      <c r="B3" s="25">
        <v>166</v>
      </c>
      <c r="D3" s="11" t="s">
        <v>25</v>
      </c>
      <c r="E3" s="10">
        <f>_xlfn.VAR.S(B2:B22)</f>
        <v>48.257142857142853</v>
      </c>
    </row>
    <row r="4" spans="1:5" x14ac:dyDescent="0.35">
      <c r="A4" s="25" t="s">
        <v>45</v>
      </c>
      <c r="B4" s="25">
        <v>180</v>
      </c>
      <c r="D4" s="11" t="s">
        <v>26</v>
      </c>
      <c r="E4" s="10">
        <f>_xlfn.STDEV.S(B2:B22)</f>
        <v>6.9467361298053385</v>
      </c>
    </row>
    <row r="5" spans="1:5" x14ac:dyDescent="0.35">
      <c r="A5" s="25" t="s">
        <v>46</v>
      </c>
      <c r="B5" s="25">
        <v>185</v>
      </c>
      <c r="D5" s="9"/>
    </row>
    <row r="6" spans="1:5" x14ac:dyDescent="0.35">
      <c r="A6" s="25" t="s">
        <v>47</v>
      </c>
      <c r="B6" s="25">
        <v>177</v>
      </c>
      <c r="D6" s="8" t="s">
        <v>1</v>
      </c>
      <c r="E6" s="7">
        <f>_xlfn.QUARTILE.EXC(B2:B22, 1)</f>
        <v>168</v>
      </c>
    </row>
    <row r="7" spans="1:5" x14ac:dyDescent="0.35">
      <c r="A7" s="25" t="s">
        <v>45</v>
      </c>
      <c r="B7" s="25">
        <v>168</v>
      </c>
      <c r="D7" s="8" t="s">
        <v>2</v>
      </c>
      <c r="E7" s="7">
        <f>_xlfn.QUARTILE.EXC(B2:B22, 3)</f>
        <v>177</v>
      </c>
    </row>
    <row r="8" spans="1:5" x14ac:dyDescent="0.35">
      <c r="A8" s="25" t="s">
        <v>48</v>
      </c>
      <c r="B8" s="25">
        <v>154</v>
      </c>
      <c r="D8" s="8" t="s">
        <v>0</v>
      </c>
      <c r="E8" s="7">
        <f>MEDIAN(B2:B22)</f>
        <v>171</v>
      </c>
    </row>
    <row r="9" spans="1:5" x14ac:dyDescent="0.35">
      <c r="A9" s="25" t="s">
        <v>49</v>
      </c>
      <c r="B9" s="25">
        <v>175</v>
      </c>
      <c r="D9" s="8" t="s">
        <v>3</v>
      </c>
      <c r="E9" s="7">
        <f>E7-E6</f>
        <v>9</v>
      </c>
    </row>
    <row r="10" spans="1:5" x14ac:dyDescent="0.35">
      <c r="A10" s="25" t="s">
        <v>50</v>
      </c>
      <c r="B10" s="25">
        <v>177</v>
      </c>
      <c r="D10" s="8" t="s">
        <v>27</v>
      </c>
      <c r="E10" s="7">
        <f>1.5*E9</f>
        <v>13.5</v>
      </c>
    </row>
    <row r="11" spans="1:5" x14ac:dyDescent="0.35">
      <c r="A11" s="25" t="s">
        <v>51</v>
      </c>
      <c r="B11" s="25">
        <v>175</v>
      </c>
      <c r="D11" s="8" t="s">
        <v>28</v>
      </c>
      <c r="E11" s="7">
        <f>E6-E10</f>
        <v>154.5</v>
      </c>
    </row>
    <row r="12" spans="1:5" x14ac:dyDescent="0.35">
      <c r="A12" s="25" t="s">
        <v>52</v>
      </c>
      <c r="B12" s="25">
        <v>171</v>
      </c>
      <c r="D12" s="8" t="s">
        <v>29</v>
      </c>
      <c r="E12" s="7">
        <f>E7+E10</f>
        <v>190.5</v>
      </c>
    </row>
    <row r="13" spans="1:5" x14ac:dyDescent="0.35">
      <c r="A13" s="25" t="s">
        <v>53</v>
      </c>
      <c r="B13" s="25">
        <v>171</v>
      </c>
      <c r="D13" s="8" t="s">
        <v>30</v>
      </c>
      <c r="E13" s="7" t="s">
        <v>48</v>
      </c>
    </row>
    <row r="14" spans="1:5" x14ac:dyDescent="0.35">
      <c r="A14" s="25" t="s">
        <v>54</v>
      </c>
      <c r="B14" s="25">
        <v>168</v>
      </c>
    </row>
    <row r="15" spans="1:5" x14ac:dyDescent="0.35">
      <c r="A15" s="25" t="s">
        <v>55</v>
      </c>
      <c r="B15" s="25">
        <v>164</v>
      </c>
    </row>
    <row r="16" spans="1:5" x14ac:dyDescent="0.35">
      <c r="A16" s="25" t="s">
        <v>56</v>
      </c>
      <c r="B16" s="25">
        <v>163</v>
      </c>
    </row>
    <row r="17" spans="1:2" x14ac:dyDescent="0.35">
      <c r="A17" s="25" t="s">
        <v>57</v>
      </c>
      <c r="B17" s="25">
        <v>178</v>
      </c>
    </row>
    <row r="18" spans="1:2" x14ac:dyDescent="0.35">
      <c r="A18" s="25" t="s">
        <v>58</v>
      </c>
      <c r="B18" s="25">
        <v>170</v>
      </c>
    </row>
    <row r="19" spans="1:2" x14ac:dyDescent="0.35">
      <c r="A19" s="25" t="s">
        <v>59</v>
      </c>
      <c r="B19" s="25">
        <v>170</v>
      </c>
    </row>
    <row r="20" spans="1:2" x14ac:dyDescent="0.35">
      <c r="A20" s="25" t="s">
        <v>60</v>
      </c>
      <c r="B20" s="25">
        <v>168</v>
      </c>
    </row>
    <row r="21" spans="1:2" x14ac:dyDescent="0.35">
      <c r="A21" s="25" t="s">
        <v>61</v>
      </c>
      <c r="B21" s="25">
        <v>180</v>
      </c>
    </row>
    <row r="22" spans="1:2" x14ac:dyDescent="0.35">
      <c r="A22" s="25" t="s">
        <v>62</v>
      </c>
      <c r="B22" s="25">
        <v>170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F136-135A-4BF6-96DA-F1CCAD877F88}">
  <dimension ref="A1:G2"/>
  <sheetViews>
    <sheetView workbookViewId="0">
      <selection activeCell="G3" sqref="G3"/>
    </sheetView>
  </sheetViews>
  <sheetFormatPr defaultRowHeight="14.5" x14ac:dyDescent="0.35"/>
  <cols>
    <col min="2" max="7" width="8.7265625" style="2"/>
  </cols>
  <sheetData>
    <row r="1" spans="1:7" x14ac:dyDescent="0.35">
      <c r="A1" s="4" t="s">
        <v>4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</row>
    <row r="2" spans="1:7" x14ac:dyDescent="0.35">
      <c r="A2" s="4" t="s">
        <v>5</v>
      </c>
      <c r="B2" s="13">
        <v>0.55000000000000004</v>
      </c>
      <c r="C2" s="13">
        <v>2.61</v>
      </c>
      <c r="D2" s="13">
        <v>5.9</v>
      </c>
      <c r="E2" s="13">
        <v>0.9</v>
      </c>
      <c r="F2" s="13">
        <v>3.9</v>
      </c>
      <c r="G2" s="14">
        <f>0.499*(6)+1.275</f>
        <v>4.2690000000000001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795C-BA2B-4D0F-A416-945716B5673A}">
  <dimension ref="A1:C38"/>
  <sheetViews>
    <sheetView topLeftCell="A31" workbookViewId="0">
      <selection activeCell="M29" sqref="M29"/>
    </sheetView>
  </sheetViews>
  <sheetFormatPr defaultRowHeight="14.5" x14ac:dyDescent="0.35"/>
  <cols>
    <col min="1" max="1" width="10.453125" bestFit="1" customWidth="1"/>
  </cols>
  <sheetData>
    <row r="1" spans="1:3" x14ac:dyDescent="0.35">
      <c r="A1" s="15" t="s">
        <v>11</v>
      </c>
      <c r="B1" s="15" t="s">
        <v>12</v>
      </c>
      <c r="C1" s="15" t="s">
        <v>13</v>
      </c>
    </row>
    <row r="2" spans="1:3" x14ac:dyDescent="0.35">
      <c r="A2" s="3" t="s">
        <v>36</v>
      </c>
      <c r="B2" s="3">
        <v>28</v>
      </c>
      <c r="C2" s="3">
        <v>1.2</v>
      </c>
    </row>
    <row r="3" spans="1:3" x14ac:dyDescent="0.35">
      <c r="A3" s="3" t="s">
        <v>14</v>
      </c>
      <c r="B3" s="3">
        <v>32</v>
      </c>
      <c r="C3" s="3">
        <v>2.2999999999999998</v>
      </c>
    </row>
    <row r="4" spans="1:3" x14ac:dyDescent="0.35">
      <c r="A4" s="3" t="s">
        <v>15</v>
      </c>
      <c r="B4" s="3">
        <v>25</v>
      </c>
      <c r="C4" s="3">
        <v>1.5</v>
      </c>
    </row>
    <row r="5" spans="1:3" x14ac:dyDescent="0.35">
      <c r="A5" s="3" t="s">
        <v>16</v>
      </c>
      <c r="B5" s="3">
        <v>32</v>
      </c>
      <c r="C5" s="3">
        <v>2</v>
      </c>
    </row>
    <row r="6" spans="1:3" x14ac:dyDescent="0.35">
      <c r="A6" s="3" t="s">
        <v>31</v>
      </c>
      <c r="B6" s="3">
        <v>21</v>
      </c>
      <c r="C6" s="3">
        <v>3</v>
      </c>
    </row>
    <row r="7" spans="1:3" x14ac:dyDescent="0.35">
      <c r="A7" s="3" t="s">
        <v>17</v>
      </c>
      <c r="B7" s="3">
        <v>25</v>
      </c>
      <c r="C7" s="3">
        <v>1.8</v>
      </c>
    </row>
    <row r="8" spans="1:3" x14ac:dyDescent="0.35">
      <c r="A8" s="3" t="s">
        <v>18</v>
      </c>
      <c r="B8" s="3">
        <v>22</v>
      </c>
      <c r="C8" s="3">
        <v>4</v>
      </c>
    </row>
    <row r="9" spans="1:3" x14ac:dyDescent="0.35">
      <c r="A9" s="3" t="s">
        <v>32</v>
      </c>
      <c r="B9" s="3">
        <v>25</v>
      </c>
      <c r="C9" s="3">
        <v>1.4</v>
      </c>
    </row>
    <row r="10" spans="1:3" x14ac:dyDescent="0.35">
      <c r="A10" s="3" t="s">
        <v>19</v>
      </c>
      <c r="B10" s="3">
        <v>35</v>
      </c>
      <c r="C10" s="3">
        <v>2</v>
      </c>
    </row>
    <row r="11" spans="1:3" x14ac:dyDescent="0.35">
      <c r="A11" s="3" t="s">
        <v>34</v>
      </c>
      <c r="B11" s="3">
        <v>32</v>
      </c>
      <c r="C11" s="3">
        <v>2.5</v>
      </c>
    </row>
    <row r="12" spans="1:3" x14ac:dyDescent="0.35">
      <c r="A12" s="3" t="s">
        <v>35</v>
      </c>
      <c r="B12" s="3">
        <v>28</v>
      </c>
      <c r="C12" s="3">
        <v>3.1</v>
      </c>
    </row>
    <row r="13" spans="1:3" x14ac:dyDescent="0.35">
      <c r="A13" s="3" t="s">
        <v>33</v>
      </c>
      <c r="B13" s="3">
        <v>23</v>
      </c>
      <c r="C13" s="3">
        <v>2.1</v>
      </c>
    </row>
    <row r="14" spans="1:3" x14ac:dyDescent="0.35">
      <c r="A14" s="3" t="s">
        <v>20</v>
      </c>
      <c r="B14" s="3">
        <v>26</v>
      </c>
      <c r="C14" s="3">
        <v>3.3</v>
      </c>
    </row>
    <row r="15" spans="1:3" x14ac:dyDescent="0.35">
      <c r="A15" s="3" t="s">
        <v>21</v>
      </c>
      <c r="B15" s="3">
        <v>25</v>
      </c>
      <c r="C15" s="3">
        <v>1.4</v>
      </c>
    </row>
    <row r="16" spans="1:3" x14ac:dyDescent="0.35">
      <c r="A16" s="3" t="s">
        <v>22</v>
      </c>
      <c r="B16" s="3">
        <v>28</v>
      </c>
      <c r="C16" s="3">
        <v>1.1000000000000001</v>
      </c>
    </row>
    <row r="17" spans="1:3" x14ac:dyDescent="0.35">
      <c r="A17" s="3" t="s">
        <v>23</v>
      </c>
      <c r="B17" s="3">
        <v>20</v>
      </c>
      <c r="C17" s="3">
        <v>2</v>
      </c>
    </row>
    <row r="18" spans="1:3" x14ac:dyDescent="0.35">
      <c r="A18" s="16" t="s">
        <v>10</v>
      </c>
      <c r="B18" s="17">
        <f>CORREL(B2:B17, C2:C17)</f>
        <v>-0.17911223329975201</v>
      </c>
      <c r="C18" t="s">
        <v>63</v>
      </c>
    </row>
    <row r="21" spans="1:3" x14ac:dyDescent="0.35">
      <c r="A21" s="15" t="s">
        <v>11</v>
      </c>
      <c r="B21" s="15" t="s">
        <v>12</v>
      </c>
      <c r="C21" s="15" t="s">
        <v>13</v>
      </c>
    </row>
    <row r="22" spans="1:3" x14ac:dyDescent="0.35">
      <c r="A22" s="3" t="s">
        <v>36</v>
      </c>
      <c r="B22" s="3">
        <v>28</v>
      </c>
      <c r="C22" s="3">
        <v>3</v>
      </c>
    </row>
    <row r="23" spans="1:3" x14ac:dyDescent="0.35">
      <c r="A23" s="3" t="s">
        <v>14</v>
      </c>
      <c r="B23" s="3">
        <v>32</v>
      </c>
      <c r="C23" s="3">
        <v>2.2999999999999998</v>
      </c>
    </row>
    <row r="24" spans="1:3" x14ac:dyDescent="0.35">
      <c r="A24" s="3" t="s">
        <v>15</v>
      </c>
      <c r="B24" s="3">
        <v>25</v>
      </c>
      <c r="C24" s="3">
        <v>3.1</v>
      </c>
    </row>
    <row r="25" spans="1:3" x14ac:dyDescent="0.35">
      <c r="A25" s="3" t="s">
        <v>16</v>
      </c>
      <c r="B25" s="3">
        <v>32</v>
      </c>
      <c r="C25" s="3">
        <v>2.2999999999999998</v>
      </c>
    </row>
    <row r="26" spans="1:3" x14ac:dyDescent="0.35">
      <c r="A26" s="3" t="s">
        <v>31</v>
      </c>
      <c r="B26" s="3">
        <v>21</v>
      </c>
      <c r="C26" s="3">
        <v>3.5</v>
      </c>
    </row>
    <row r="27" spans="1:3" x14ac:dyDescent="0.35">
      <c r="A27" s="3" t="s">
        <v>17</v>
      </c>
      <c r="B27" s="3">
        <v>25</v>
      </c>
      <c r="C27" s="3">
        <v>2.8</v>
      </c>
    </row>
    <row r="28" spans="1:3" x14ac:dyDescent="0.35">
      <c r="A28" s="3" t="s">
        <v>18</v>
      </c>
      <c r="B28" s="3">
        <v>22</v>
      </c>
      <c r="C28" s="3">
        <v>4</v>
      </c>
    </row>
    <row r="29" spans="1:3" x14ac:dyDescent="0.35">
      <c r="A29" s="3" t="s">
        <v>32</v>
      </c>
      <c r="B29" s="3">
        <v>25</v>
      </c>
      <c r="C29" s="3">
        <v>3.4</v>
      </c>
    </row>
    <row r="30" spans="1:3" x14ac:dyDescent="0.35">
      <c r="A30" s="3" t="s">
        <v>19</v>
      </c>
      <c r="B30" s="3">
        <v>35</v>
      </c>
      <c r="C30" s="3">
        <v>2</v>
      </c>
    </row>
    <row r="31" spans="1:3" x14ac:dyDescent="0.35">
      <c r="A31" s="3" t="s">
        <v>34</v>
      </c>
      <c r="B31" s="3">
        <v>32</v>
      </c>
      <c r="C31" s="3">
        <v>2.5</v>
      </c>
    </row>
    <row r="32" spans="1:3" x14ac:dyDescent="0.35">
      <c r="A32" s="3" t="s">
        <v>35</v>
      </c>
      <c r="B32" s="3">
        <v>28</v>
      </c>
      <c r="C32" s="3">
        <v>3.1</v>
      </c>
    </row>
    <row r="33" spans="1:3" x14ac:dyDescent="0.35">
      <c r="A33" s="3" t="s">
        <v>33</v>
      </c>
      <c r="B33" s="3">
        <v>23</v>
      </c>
      <c r="C33" s="3">
        <v>3.2</v>
      </c>
    </row>
    <row r="34" spans="1:3" x14ac:dyDescent="0.35">
      <c r="A34" s="3" t="s">
        <v>20</v>
      </c>
      <c r="B34" s="3">
        <v>26</v>
      </c>
      <c r="C34" s="3">
        <v>3.3</v>
      </c>
    </row>
    <row r="35" spans="1:3" x14ac:dyDescent="0.35">
      <c r="A35" s="3" t="s">
        <v>21</v>
      </c>
      <c r="B35" s="3">
        <v>25</v>
      </c>
      <c r="C35" s="3">
        <v>3.2</v>
      </c>
    </row>
    <row r="36" spans="1:3" x14ac:dyDescent="0.35">
      <c r="A36" s="3" t="s">
        <v>22</v>
      </c>
      <c r="B36" s="3">
        <v>28</v>
      </c>
      <c r="C36" s="3">
        <v>2.5</v>
      </c>
    </row>
    <row r="37" spans="1:3" x14ac:dyDescent="0.35">
      <c r="A37" s="3" t="s">
        <v>23</v>
      </c>
      <c r="B37" s="3">
        <v>20</v>
      </c>
      <c r="C37" s="3">
        <v>4.0999999999999996</v>
      </c>
    </row>
    <row r="38" spans="1:3" x14ac:dyDescent="0.35">
      <c r="A38" s="16" t="s">
        <v>10</v>
      </c>
      <c r="B38" s="17">
        <f>CORREL(B22:B37,C22:C37)</f>
        <v>-0.91656499029885941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897F-2B12-418F-8788-CDBAB947548F}">
  <dimension ref="A1:N25"/>
  <sheetViews>
    <sheetView topLeftCell="A12" workbookViewId="0">
      <selection activeCell="H2" sqref="H2:N8"/>
    </sheetView>
  </sheetViews>
  <sheetFormatPr defaultRowHeight="14.5" x14ac:dyDescent="0.35"/>
  <cols>
    <col min="1" max="6" width="8.7265625" style="2"/>
  </cols>
  <sheetData>
    <row r="1" spans="1:14" ht="15" thickBot="1" x14ac:dyDescent="0.4">
      <c r="A1" s="18" t="s">
        <v>37</v>
      </c>
      <c r="B1" s="18" t="s">
        <v>38</v>
      </c>
      <c r="C1" s="18" t="s">
        <v>39</v>
      </c>
      <c r="D1" s="18" t="s">
        <v>40</v>
      </c>
      <c r="E1" s="18" t="s">
        <v>41</v>
      </c>
      <c r="F1" s="18" t="s">
        <v>42</v>
      </c>
    </row>
    <row r="2" spans="1:14" x14ac:dyDescent="0.35">
      <c r="A2" s="5">
        <v>6.3</v>
      </c>
      <c r="B2" s="5">
        <v>5.3</v>
      </c>
      <c r="C2" s="5">
        <v>4.8</v>
      </c>
      <c r="D2" s="5">
        <v>3.1</v>
      </c>
      <c r="E2" s="5">
        <v>1</v>
      </c>
      <c r="F2" s="5">
        <v>91</v>
      </c>
      <c r="H2" s="28"/>
      <c r="I2" s="28" t="s">
        <v>64</v>
      </c>
      <c r="J2" s="28" t="s">
        <v>65</v>
      </c>
      <c r="K2" s="28" t="s">
        <v>66</v>
      </c>
      <c r="L2" s="28" t="s">
        <v>67</v>
      </c>
      <c r="M2" s="28" t="s">
        <v>68</v>
      </c>
      <c r="N2" s="28" t="s">
        <v>69</v>
      </c>
    </row>
    <row r="3" spans="1:14" x14ac:dyDescent="0.35">
      <c r="A3" s="5">
        <v>4.4000000000000004</v>
      </c>
      <c r="B3" s="5">
        <v>4.9000000000000004</v>
      </c>
      <c r="C3" s="5">
        <v>3.5</v>
      </c>
      <c r="D3" s="5">
        <v>3.9</v>
      </c>
      <c r="E3" s="5">
        <v>1</v>
      </c>
      <c r="F3" s="5">
        <v>87</v>
      </c>
      <c r="H3" s="26" t="s">
        <v>64</v>
      </c>
      <c r="I3" s="26">
        <v>1</v>
      </c>
      <c r="J3" s="26"/>
      <c r="K3" s="26"/>
      <c r="L3" s="26"/>
      <c r="M3" s="26"/>
      <c r="N3" s="26"/>
    </row>
    <row r="4" spans="1:14" x14ac:dyDescent="0.35">
      <c r="A4" s="5">
        <v>3.9</v>
      </c>
      <c r="B4" s="5">
        <v>5.3</v>
      </c>
      <c r="C4" s="5">
        <v>4.8</v>
      </c>
      <c r="D4" s="5">
        <v>4.7</v>
      </c>
      <c r="E4" s="5">
        <v>1</v>
      </c>
      <c r="F4" s="5">
        <v>82</v>
      </c>
      <c r="H4" s="26" t="s">
        <v>65</v>
      </c>
      <c r="I4" s="26">
        <v>2.1933850870538194E-3</v>
      </c>
      <c r="J4" s="26">
        <v>1</v>
      </c>
      <c r="K4" s="26"/>
      <c r="L4" s="26"/>
      <c r="M4" s="26"/>
      <c r="N4" s="26"/>
    </row>
    <row r="5" spans="1:14" x14ac:dyDescent="0.35">
      <c r="A5" s="5">
        <v>5.0999999999999996</v>
      </c>
      <c r="B5" s="5">
        <v>4.2</v>
      </c>
      <c r="C5" s="5">
        <v>3.1</v>
      </c>
      <c r="D5" s="5">
        <v>3.6</v>
      </c>
      <c r="E5" s="5">
        <v>1</v>
      </c>
      <c r="F5" s="5">
        <v>83</v>
      </c>
      <c r="H5" s="26" t="s">
        <v>66</v>
      </c>
      <c r="I5" s="26">
        <v>0.32849254663835342</v>
      </c>
      <c r="J5" s="26">
        <v>0.5987718870433657</v>
      </c>
      <c r="K5" s="26">
        <v>1</v>
      </c>
      <c r="L5" s="26"/>
      <c r="M5" s="26"/>
      <c r="N5" s="26"/>
    </row>
    <row r="6" spans="1:14" x14ac:dyDescent="0.35">
      <c r="A6" s="5">
        <v>5.6</v>
      </c>
      <c r="B6" s="5">
        <v>5.0999999999999996</v>
      </c>
      <c r="C6" s="5">
        <v>5.5</v>
      </c>
      <c r="D6" s="5">
        <v>5.0999999999999996</v>
      </c>
      <c r="E6" s="5">
        <v>1</v>
      </c>
      <c r="F6" s="5">
        <v>83</v>
      </c>
      <c r="H6" s="26" t="s">
        <v>67</v>
      </c>
      <c r="I6" s="26">
        <v>0.19315253963381412</v>
      </c>
      <c r="J6" s="26">
        <v>0.49959522541582824</v>
      </c>
      <c r="K6" s="26">
        <v>0.52413562856381246</v>
      </c>
      <c r="L6" s="26">
        <v>1</v>
      </c>
      <c r="M6" s="26"/>
      <c r="N6" s="26"/>
    </row>
    <row r="7" spans="1:14" x14ac:dyDescent="0.35">
      <c r="A7" s="5">
        <v>4.5999999999999996</v>
      </c>
      <c r="B7" s="5">
        <v>4.7</v>
      </c>
      <c r="C7" s="5">
        <v>5.0999999999999996</v>
      </c>
      <c r="D7" s="5">
        <v>4.0999999999999996</v>
      </c>
      <c r="E7" s="5">
        <v>1</v>
      </c>
      <c r="F7" s="5">
        <v>84</v>
      </c>
      <c r="H7" s="26" t="s">
        <v>68</v>
      </c>
      <c r="I7" s="26">
        <v>-3.23318316897101E-2</v>
      </c>
      <c r="J7" s="26">
        <v>0.27825817433122585</v>
      </c>
      <c r="K7" s="26">
        <v>0.45776148865234534</v>
      </c>
      <c r="L7" s="26">
        <v>0.16475977333138922</v>
      </c>
      <c r="M7" s="26">
        <v>1</v>
      </c>
      <c r="N7" s="26"/>
    </row>
    <row r="8" spans="1:14" ht="15" thickBot="1" x14ac:dyDescent="0.4">
      <c r="A8" s="5">
        <v>4.8</v>
      </c>
      <c r="B8" s="5">
        <v>4.8</v>
      </c>
      <c r="C8" s="5">
        <v>4.8</v>
      </c>
      <c r="D8" s="5">
        <v>3.3</v>
      </c>
      <c r="E8" s="5">
        <v>1</v>
      </c>
      <c r="F8" s="5">
        <v>90</v>
      </c>
      <c r="H8" s="27" t="s">
        <v>69</v>
      </c>
      <c r="I8" s="27">
        <v>0.51223693695297745</v>
      </c>
      <c r="J8" s="27">
        <v>-0.25165915953966761</v>
      </c>
      <c r="K8" s="27">
        <v>-0.19385107318257683</v>
      </c>
      <c r="L8" s="27">
        <v>-0.48923392312959119</v>
      </c>
      <c r="M8" s="27">
        <v>-0.50717830451656576</v>
      </c>
      <c r="N8" s="27">
        <v>1</v>
      </c>
    </row>
    <row r="9" spans="1:14" x14ac:dyDescent="0.35">
      <c r="A9" s="5">
        <v>6.5</v>
      </c>
      <c r="B9" s="5">
        <v>4.5</v>
      </c>
      <c r="C9" s="5">
        <v>4.3</v>
      </c>
      <c r="D9" s="5">
        <v>5.2</v>
      </c>
      <c r="E9" s="5">
        <v>1</v>
      </c>
      <c r="F9" s="5">
        <v>84</v>
      </c>
    </row>
    <row r="10" spans="1:14" x14ac:dyDescent="0.35">
      <c r="A10" s="5">
        <v>8.6999999999999993</v>
      </c>
      <c r="B10" s="5">
        <v>4.3</v>
      </c>
      <c r="C10" s="5">
        <v>3.9</v>
      </c>
      <c r="D10" s="5">
        <v>2.9</v>
      </c>
      <c r="E10" s="5">
        <v>1</v>
      </c>
      <c r="F10" s="5">
        <v>97</v>
      </c>
    </row>
    <row r="11" spans="1:14" x14ac:dyDescent="0.35">
      <c r="A11" s="5">
        <v>8.3000000000000007</v>
      </c>
      <c r="B11" s="5">
        <v>3.9</v>
      </c>
      <c r="C11" s="5">
        <v>4.7</v>
      </c>
      <c r="D11" s="5">
        <v>3.9</v>
      </c>
      <c r="E11" s="5">
        <v>1</v>
      </c>
      <c r="F11" s="5">
        <v>93</v>
      </c>
    </row>
    <row r="12" spans="1:14" x14ac:dyDescent="0.35">
      <c r="A12" s="5">
        <v>5.0999999999999996</v>
      </c>
      <c r="B12" s="5">
        <v>4.3</v>
      </c>
      <c r="C12" s="5">
        <v>4.5</v>
      </c>
      <c r="D12" s="5">
        <v>3.6</v>
      </c>
      <c r="E12" s="5">
        <v>1</v>
      </c>
      <c r="F12" s="5">
        <v>82</v>
      </c>
    </row>
    <row r="13" spans="1:14" x14ac:dyDescent="0.35">
      <c r="A13" s="5">
        <v>3.3</v>
      </c>
      <c r="B13" s="5">
        <v>5.4</v>
      </c>
      <c r="C13" s="5">
        <v>4.3</v>
      </c>
      <c r="D13" s="5">
        <v>3.6</v>
      </c>
      <c r="E13" s="5">
        <v>1</v>
      </c>
      <c r="F13" s="5">
        <v>84</v>
      </c>
    </row>
    <row r="14" spans="1:14" x14ac:dyDescent="0.35">
      <c r="A14" s="5">
        <v>5.9</v>
      </c>
      <c r="B14" s="5">
        <v>5.7</v>
      </c>
      <c r="C14" s="5">
        <v>7.2</v>
      </c>
      <c r="D14" s="5">
        <v>4.0999999999999996</v>
      </c>
      <c r="E14" s="5">
        <v>2</v>
      </c>
      <c r="F14" s="5">
        <v>87</v>
      </c>
    </row>
    <row r="15" spans="1:14" x14ac:dyDescent="0.35">
      <c r="A15" s="5">
        <v>7.7</v>
      </c>
      <c r="B15" s="5">
        <v>6.6</v>
      </c>
      <c r="C15" s="5">
        <v>6.7</v>
      </c>
      <c r="D15" s="5">
        <v>5.6</v>
      </c>
      <c r="E15" s="5">
        <v>2</v>
      </c>
      <c r="F15" s="5">
        <v>80</v>
      </c>
    </row>
    <row r="16" spans="1:14" x14ac:dyDescent="0.35">
      <c r="A16" s="5">
        <v>7.1</v>
      </c>
      <c r="B16" s="5">
        <v>4.4000000000000004</v>
      </c>
      <c r="C16" s="5">
        <v>5.8</v>
      </c>
      <c r="D16" s="5">
        <v>4.0999999999999996</v>
      </c>
      <c r="E16" s="5">
        <v>2</v>
      </c>
      <c r="F16" s="5">
        <v>84</v>
      </c>
    </row>
    <row r="17" spans="1:6" x14ac:dyDescent="0.35">
      <c r="A17" s="5">
        <v>5.5</v>
      </c>
      <c r="B17" s="5">
        <v>5.6</v>
      </c>
      <c r="C17" s="5">
        <v>5.6</v>
      </c>
      <c r="D17" s="5">
        <v>4.4000000000000004</v>
      </c>
      <c r="E17" s="5">
        <v>2</v>
      </c>
      <c r="F17" s="5">
        <v>84</v>
      </c>
    </row>
    <row r="18" spans="1:6" x14ac:dyDescent="0.35">
      <c r="A18" s="5">
        <v>6.3</v>
      </c>
      <c r="B18" s="5">
        <v>5.4</v>
      </c>
      <c r="C18" s="5">
        <v>4.8</v>
      </c>
      <c r="D18" s="5">
        <v>4.5999999999999996</v>
      </c>
      <c r="E18" s="5">
        <v>2</v>
      </c>
      <c r="F18" s="5">
        <v>82</v>
      </c>
    </row>
    <row r="19" spans="1:6" x14ac:dyDescent="0.35">
      <c r="A19" s="5">
        <v>4.3</v>
      </c>
      <c r="B19" s="5">
        <v>5.5</v>
      </c>
      <c r="C19" s="5">
        <v>5.5</v>
      </c>
      <c r="D19" s="5">
        <v>4.0999999999999996</v>
      </c>
      <c r="E19" s="5">
        <v>2</v>
      </c>
      <c r="F19" s="5">
        <v>79</v>
      </c>
    </row>
    <row r="20" spans="1:6" x14ac:dyDescent="0.35">
      <c r="A20" s="5">
        <v>4.5999999999999996</v>
      </c>
      <c r="B20" s="5">
        <v>4.0999999999999996</v>
      </c>
      <c r="C20" s="5">
        <v>4.3</v>
      </c>
      <c r="D20" s="5">
        <v>3.1</v>
      </c>
      <c r="E20" s="5">
        <v>2</v>
      </c>
      <c r="F20" s="5">
        <v>81</v>
      </c>
    </row>
    <row r="21" spans="1:6" x14ac:dyDescent="0.35">
      <c r="A21" s="5">
        <v>3.4</v>
      </c>
      <c r="B21" s="5">
        <v>5</v>
      </c>
      <c r="C21" s="5">
        <v>3.4</v>
      </c>
      <c r="D21" s="5">
        <v>3.4</v>
      </c>
      <c r="E21" s="5">
        <v>2</v>
      </c>
      <c r="F21" s="5">
        <v>83</v>
      </c>
    </row>
    <row r="22" spans="1:6" x14ac:dyDescent="0.35">
      <c r="A22" s="5">
        <v>6.4</v>
      </c>
      <c r="B22" s="5">
        <v>5.4</v>
      </c>
      <c r="C22" s="5">
        <v>6.6</v>
      </c>
      <c r="D22" s="5">
        <v>4.8</v>
      </c>
      <c r="E22" s="5">
        <v>2</v>
      </c>
      <c r="F22" s="5">
        <v>81</v>
      </c>
    </row>
    <row r="23" spans="1:6" x14ac:dyDescent="0.35">
      <c r="A23" s="5">
        <v>5.5</v>
      </c>
      <c r="B23" s="5">
        <v>5.3</v>
      </c>
      <c r="C23" s="5">
        <v>5.3</v>
      </c>
      <c r="D23" s="5">
        <v>3.8</v>
      </c>
      <c r="E23" s="5">
        <v>2</v>
      </c>
      <c r="F23" s="5">
        <v>84</v>
      </c>
    </row>
    <row r="24" spans="1:6" x14ac:dyDescent="0.35">
      <c r="A24" s="5">
        <v>4.7</v>
      </c>
      <c r="B24" s="5">
        <v>4.0999999999999996</v>
      </c>
      <c r="C24" s="5">
        <v>5</v>
      </c>
      <c r="D24" s="5">
        <v>3.7</v>
      </c>
      <c r="E24" s="5">
        <v>2</v>
      </c>
      <c r="F24" s="5">
        <v>83</v>
      </c>
    </row>
    <row r="25" spans="1:6" x14ac:dyDescent="0.35">
      <c r="A25" s="5">
        <v>4.0999999999999996</v>
      </c>
      <c r="B25" s="5">
        <v>4</v>
      </c>
      <c r="C25" s="5">
        <v>4.0999999999999996</v>
      </c>
      <c r="D25" s="5">
        <v>4</v>
      </c>
      <c r="E25" s="5">
        <v>2</v>
      </c>
      <c r="F25" s="5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2984-9738-4621-B57F-141911FCEA01}">
  <dimension ref="A1:C10"/>
  <sheetViews>
    <sheetView workbookViewId="0">
      <selection activeCell="B10" sqref="B10"/>
    </sheetView>
  </sheetViews>
  <sheetFormatPr defaultRowHeight="14.5" x14ac:dyDescent="0.35"/>
  <cols>
    <col min="1" max="1" width="10.6328125" style="2" customWidth="1"/>
    <col min="2" max="3" width="10.6328125" customWidth="1"/>
  </cols>
  <sheetData>
    <row r="1" spans="1:3" x14ac:dyDescent="0.35">
      <c r="A1" s="18" t="s">
        <v>6</v>
      </c>
      <c r="B1" s="18" t="s">
        <v>7</v>
      </c>
      <c r="C1" s="18" t="s">
        <v>8</v>
      </c>
    </row>
    <row r="2" spans="1:3" x14ac:dyDescent="0.35">
      <c r="A2" s="12">
        <v>1</v>
      </c>
      <c r="B2" s="12">
        <v>150</v>
      </c>
      <c r="C2" s="12">
        <v>50</v>
      </c>
    </row>
    <row r="3" spans="1:3" x14ac:dyDescent="0.35">
      <c r="A3" s="12">
        <v>2</v>
      </c>
      <c r="B3" s="12">
        <v>170</v>
      </c>
      <c r="C3" s="12">
        <v>75</v>
      </c>
    </row>
    <row r="4" spans="1:3" x14ac:dyDescent="0.35">
      <c r="A4" s="12">
        <v>3</v>
      </c>
      <c r="B4" s="12">
        <v>165</v>
      </c>
      <c r="C4" s="12">
        <v>60</v>
      </c>
    </row>
    <row r="5" spans="1:3" x14ac:dyDescent="0.35">
      <c r="A5" s="12">
        <v>4</v>
      </c>
      <c r="B5" s="12">
        <v>155</v>
      </c>
      <c r="C5" s="12">
        <v>45</v>
      </c>
    </row>
    <row r="6" spans="1:3" x14ac:dyDescent="0.35">
      <c r="A6" s="12">
        <v>5</v>
      </c>
      <c r="B6" s="12">
        <v>160</v>
      </c>
      <c r="C6" s="12">
        <v>55</v>
      </c>
    </row>
    <row r="7" spans="1:3" x14ac:dyDescent="0.35">
      <c r="A7" s="22" t="s">
        <v>9</v>
      </c>
      <c r="B7" s="21">
        <f>AVERAGE(B2:B6)</f>
        <v>160</v>
      </c>
      <c r="C7" s="21">
        <f>AVERAGE(C2:C6)</f>
        <v>57</v>
      </c>
    </row>
    <row r="8" spans="1:3" x14ac:dyDescent="0.35">
      <c r="A8" s="23"/>
    </row>
    <row r="9" spans="1:3" x14ac:dyDescent="0.35">
      <c r="A9" s="22" t="s">
        <v>10</v>
      </c>
      <c r="B9" s="21">
        <f>CORREL(B2:B6,C2:C6)</f>
        <v>0.89284366566647866</v>
      </c>
      <c r="C9" s="20"/>
    </row>
    <row r="10" spans="1:3" x14ac:dyDescent="0.35">
      <c r="A10" s="20"/>
      <c r="B10" s="19"/>
      <c r="C1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GolfDistance</vt:lpstr>
      <vt:lpstr>StatClass</vt:lpstr>
      <vt:lpstr>InflationRate</vt:lpstr>
      <vt:lpstr>Correlation</vt:lpstr>
      <vt:lpstr>Shampoo</vt:lpstr>
      <vt:lpstr>Ex-Corr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2022-05-01T14:58:10Z</dcterms:created>
  <dcterms:modified xsi:type="dcterms:W3CDTF">2026-04-28T04:58:48Z</dcterms:modified>
</cp:coreProperties>
</file>