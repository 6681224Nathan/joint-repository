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"/>
    </mc:Choice>
  </mc:AlternateContent>
  <xr:revisionPtr revIDLastSave="0" documentId="13_ncr:1_{B0EE1D37-E4E3-214D-A5E2-76BA655B15FB}" xr6:coauthVersionLast="47" xr6:coauthVersionMax="47" xr10:uidLastSave="{00000000-0000-0000-0000-000000000000}"/>
  <bookViews>
    <workbookView xWindow="0" yWindow="600" windowWidth="24080" windowHeight="13180" activeTab="1" xr2:uid="{8DEBBECD-A99A-49B1-B4B6-AB7841D25FAA}"/>
  </bookViews>
  <sheets>
    <sheet name="Sheet0" sheetId="1" r:id="rId1"/>
    <sheet name="Sheet1" sheetId="4" r:id="rId2"/>
    <sheet name="Sheet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B26" i="4"/>
  <c r="F27" i="4"/>
  <c r="H26" i="4"/>
  <c r="K21" i="4"/>
  <c r="K20" i="4"/>
  <c r="F22" i="4"/>
  <c r="I21" i="4" s="1"/>
  <c r="F14" i="4"/>
  <c r="B14" i="4" s="1"/>
  <c r="F11" i="4"/>
  <c r="B10" i="4" s="1"/>
  <c r="F10" i="4"/>
  <c r="E9" i="4"/>
  <c r="B9" i="4" s="1"/>
  <c r="G8" i="4"/>
  <c r="B8" i="4"/>
  <c r="B3" i="4"/>
  <c r="B1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<sst xmlns="http://schemas.openxmlformats.org/spreadsheetml/2006/main" count="62" uniqueCount="59">
  <si>
    <t xml:space="preserve">P(Z &gt; 1.26) = </t>
  </si>
  <si>
    <t xml:space="preserve">P(Z &lt; -0.86) = </t>
  </si>
  <si>
    <t xml:space="preserve">P(Z &gt; -1.37) = </t>
  </si>
  <si>
    <t xml:space="preserve">P(-1.25&lt;Z&lt;0.37) = </t>
  </si>
  <si>
    <t xml:space="preserve">P(Z ≤ -4.6) ≈ </t>
  </si>
  <si>
    <t xml:space="preserve">Find z for P(Z ≤ z) = 0.05, z = </t>
  </si>
  <si>
    <t xml:space="preserve">Find z for P(-z &lt; Z &lt; z) = 0.99, z = </t>
  </si>
  <si>
    <t>Normal Approximation</t>
  </si>
  <si>
    <r>
      <t xml:space="preserve">P(Z </t>
    </r>
    <r>
      <rPr>
        <sz val="12"/>
        <color theme="1"/>
        <rFont val="Aptos Narrow"/>
        <family val="2"/>
      </rPr>
      <t>≤ -0.75104)</t>
    </r>
    <r>
      <rPr>
        <sz val="12"/>
        <color theme="1"/>
        <rFont val="Calibri"/>
        <family val="2"/>
        <scheme val="minor"/>
      </rPr>
      <t xml:space="preserve"> =</t>
    </r>
  </si>
  <si>
    <t>n=50</t>
  </si>
  <si>
    <t>p=0.1</t>
  </si>
  <si>
    <r>
      <t xml:space="preserve">P(X </t>
    </r>
    <r>
      <rPr>
        <sz val="12"/>
        <color theme="1"/>
        <rFont val="Aptos Narrow"/>
        <family val="2"/>
      </rPr>
      <t>≤ 2) ≈</t>
    </r>
    <r>
      <rPr>
        <sz val="12"/>
        <color theme="1"/>
        <rFont val="Calibri"/>
        <family val="2"/>
        <scheme val="minor"/>
      </rPr>
      <t xml:space="preserve"> P(Z &lt; -1.18) = </t>
    </r>
  </si>
  <si>
    <r>
      <t>P(X &gt; 8</t>
    </r>
    <r>
      <rPr>
        <sz val="12"/>
        <color theme="1"/>
        <rFont val="Aptos Narrow"/>
        <family val="2"/>
      </rPr>
      <t>) ≈</t>
    </r>
    <r>
      <rPr>
        <sz val="12"/>
        <color theme="1"/>
        <rFont val="Calibri"/>
        <family val="2"/>
        <scheme val="minor"/>
      </rPr>
      <t xml:space="preserve"> </t>
    </r>
  </si>
  <si>
    <t>mean = 1000</t>
  </si>
  <si>
    <r>
      <t xml:space="preserve">P(X </t>
    </r>
    <r>
      <rPr>
        <sz val="12"/>
        <color theme="1"/>
        <rFont val="Aptos Narrow"/>
        <family val="2"/>
      </rPr>
      <t>≤ 950) ≈</t>
    </r>
    <r>
      <rPr>
        <sz val="12"/>
        <color theme="1"/>
        <rFont val="Calibri"/>
        <family val="2"/>
        <scheme val="minor"/>
      </rPr>
      <t xml:space="preserve"> </t>
    </r>
  </si>
  <si>
    <t xml:space="preserve">P ≈ </t>
  </si>
  <si>
    <t xml:space="preserve">Each sample of water has a 10% chance of containing a particular organic pollutant.  </t>
  </si>
  <si>
    <t xml:space="preserve">Assume that the samples are independent with regard to the presence of the pollutant. </t>
  </si>
  <si>
    <t>Approximate the probability that, in the next 200 samples, there are 20 to 25 samples contain the pollutant.</t>
  </si>
  <si>
    <t>E(Y) =</t>
  </si>
  <si>
    <t>V(Y) =</t>
  </si>
  <si>
    <t>E(2Y) =</t>
  </si>
  <si>
    <t>V(2Y) =</t>
  </si>
  <si>
    <t>Continuity Correction</t>
  </si>
  <si>
    <t>P(X ≤ 150) = P(X ≤ 150.5)</t>
  </si>
  <si>
    <t>Binomial Distribution (Normal Approximate)</t>
  </si>
  <si>
    <t>Poisson Distribution (Normal Approximate)</t>
  </si>
  <si>
    <t xml:space="preserve">For the case of the thin copper wire, suppose that the number of flaws follows a Poisson distribution of 23 flaws per cm.  </t>
  </si>
  <si>
    <t xml:space="preserve">Let X denote the number of flaws in 1 mm of wire.  </t>
  </si>
  <si>
    <t>Approximate the probability of less than 2 flaws in 1 mm of wire.</t>
  </si>
  <si>
    <t>Binomial</t>
  </si>
  <si>
    <t>P(X&lt;=2) = BINOM.DIST(2, 50, 0.1, TRUE)</t>
  </si>
  <si>
    <t>np = 5</t>
  </si>
  <si>
    <t>n*(1-p) = 50*0.9 = 45</t>
  </si>
  <si>
    <t>convert from x to z using formulas x-mean/(sqrt(n(1-p)(p))</t>
  </si>
  <si>
    <t>Z</t>
  </si>
  <si>
    <r>
      <t>P(X = 5</t>
    </r>
    <r>
      <rPr>
        <sz val="12"/>
        <color theme="1"/>
        <rFont val="Aptos Narrow"/>
        <family val="2"/>
      </rPr>
      <t>) ≈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P(4.5&lt;=X&lt;=5.5)</t>
    </r>
  </si>
  <si>
    <t>Z from x 4.5</t>
  </si>
  <si>
    <t>mean</t>
  </si>
  <si>
    <t>std</t>
  </si>
  <si>
    <t>Z from x 5.5</t>
  </si>
  <si>
    <t>"=SQRT(n*p*(1-p))</t>
  </si>
  <si>
    <t>Z=(X+0.5)/std (x adds 0.5 due to convert from continuous to discrete)</t>
  </si>
  <si>
    <t>x to z formula = ( (x+0.5) - mean ) / (sqrt(mean))</t>
  </si>
  <si>
    <t>p</t>
  </si>
  <si>
    <t>n</t>
  </si>
  <si>
    <t>std.dis</t>
  </si>
  <si>
    <t>sqrt(n*p*(1-p))</t>
  </si>
  <si>
    <t>1-p</t>
  </si>
  <si>
    <t>P(19.5 &lt;= X &lt;= 25.5)</t>
  </si>
  <si>
    <t>p 25.5 Z =</t>
  </si>
  <si>
    <t>p 19.5 Z =</t>
  </si>
  <si>
    <t>mean np =</t>
  </si>
  <si>
    <t>P(X&lt;2)</t>
  </si>
  <si>
    <t>mean = 2.3</t>
  </si>
  <si>
    <t>x to Z</t>
  </si>
  <si>
    <t>P(X&lt;= 1.5)</t>
  </si>
  <si>
    <t>Std</t>
  </si>
  <si>
    <t>NOTE : When X &lt; you subtract 0.5, when X &gt; addition 0.5, picturing the continuous graph being converted into discrete graph, there is a problem of the "exact" point which is addressed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</si>
</sst>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right"/>
    </xf>
    <xf numFmtId="164" fontId="2" fillId="2" borderId="1" xfId="0" applyNumberFormat="1" applyFont="1" applyFill="1" applyBorder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2" fillId="3" borderId="1" xfId="0" applyFont="1" applyFill="1" applyBorder="1"/>
    <xf numFmtId="0" fontId="3" fillId="0" borderId="0" xfId="0" applyFont="1"/>
    <xf numFmtId="0" fontId="1" fillId="0" borderId="1" xfId="0" applyFont="1" applyBorder="1" applyAlignment="1">
      <alignment horizontal="right"/>
    </xf>
    <xf numFmtId="0" fontId="1" fillId="0" borderId="0" xfId="0" applyFont="1"/>
    <xf numFmtId="0" fontId="1" fillId="0" borderId="1" xfId="0" applyFont="1" applyBorder="1"/>
    <xf numFmtId="0" fontId="1" fillId="0" borderId="0" xfId="0" quotePrefix="1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5</xdr:col>
      <xdr:colOff>593724</xdr:colOff>
      <xdr:row>8</xdr:row>
      <xdr:rowOff>198377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57134B-1950-4C2C-8A70-16D49B26D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76200"/>
          <a:ext cx="4171949" cy="21827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88EE-10A4-452A-84F0-3D55D1ADE700}">
  <dimension ref="A1:B7"/>
  <sheetViews>
    <sheetView zoomScale="175" zoomScaleNormal="175" workbookViewId="0">
      <selection activeCell="E4" sqref="E4"/>
    </sheetView>
  </sheetViews>
  <sheetFormatPr baseColWidth="10" defaultColWidth="8.83203125" defaultRowHeight="18" customHeight="1" x14ac:dyDescent="0.2"/>
  <cols>
    <col min="1" max="1" width="30.6640625" style="1" customWidth="1"/>
    <col min="2" max="2" width="20.6640625" style="2" customWidth="1"/>
  </cols>
  <sheetData>
    <row r="1" spans="1:2" ht="18" customHeight="1" x14ac:dyDescent="0.2">
      <c r="A1" s="3" t="s">
        <v>0</v>
      </c>
      <c r="B1" s="4">
        <f>1-_xlfn.NORM.S.DIST(1.26, TRUE)</f>
        <v>0.10383468112130034</v>
      </c>
    </row>
    <row r="2" spans="1:2" ht="18" customHeight="1" x14ac:dyDescent="0.2">
      <c r="A2" s="3" t="s">
        <v>1</v>
      </c>
      <c r="B2" s="4">
        <f>_xlfn.NORM.S.DIST(-0.86, TRUE)</f>
        <v>0.19489452125180831</v>
      </c>
    </row>
    <row r="3" spans="1:2" ht="18" customHeight="1" x14ac:dyDescent="0.2">
      <c r="A3" s="3" t="s">
        <v>2</v>
      </c>
      <c r="B3" s="4">
        <f>1-_xlfn.NORM.S.DIST(-1.37, TRUE)</f>
        <v>0.91465654917803307</v>
      </c>
    </row>
    <row r="4" spans="1:2" ht="18" customHeight="1" x14ac:dyDescent="0.2">
      <c r="A4" s="3" t="s">
        <v>3</v>
      </c>
      <c r="B4" s="4">
        <f>_xlfn.NORM.S.DIST(0.37, TRUE) - _xlfn.NORM.S.DIST(-1.25, TRUE)</f>
        <v>0.53865898113369159</v>
      </c>
    </row>
    <row r="5" spans="1:2" ht="18" customHeight="1" x14ac:dyDescent="0.2">
      <c r="A5" s="3" t="s">
        <v>4</v>
      </c>
      <c r="B5" s="4">
        <f>_xlfn.NORM.S.DIST(-4.6, TRUE)</f>
        <v>2.1124547025028533E-6</v>
      </c>
    </row>
    <row r="6" spans="1:2" ht="18" customHeight="1" x14ac:dyDescent="0.2">
      <c r="A6" s="3" t="s">
        <v>5</v>
      </c>
      <c r="B6" s="4">
        <f>_xlfn.NORM.S.INV(0.05)</f>
        <v>-1.6448536269514726</v>
      </c>
    </row>
    <row r="7" spans="1:2" ht="18" customHeight="1" x14ac:dyDescent="0.2">
      <c r="A7" s="10" t="s">
        <v>6</v>
      </c>
      <c r="B7" s="4">
        <f>_xlfn.NORM.S.INV(0.995)</f>
        <v>2.5758293035488999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FCD5-2B6B-4A00-90CB-606F34C7584F}">
  <dimension ref="A1:K30"/>
  <sheetViews>
    <sheetView tabSelected="1" topLeftCell="A20" zoomScale="150" workbookViewId="0">
      <selection activeCell="E29" sqref="E29:I30"/>
    </sheetView>
  </sheetViews>
  <sheetFormatPr baseColWidth="10" defaultColWidth="8.83203125" defaultRowHeight="18" customHeight="1" x14ac:dyDescent="0.2"/>
  <cols>
    <col min="1" max="1" width="22.83203125" style="5" customWidth="1"/>
    <col min="2" max="2" width="18.6640625" style="5" customWidth="1"/>
    <col min="3" max="16384" width="8.83203125" style="5"/>
  </cols>
  <sheetData>
    <row r="1" spans="1:11" ht="18" customHeight="1" x14ac:dyDescent="0.2">
      <c r="A1" s="6" t="s">
        <v>7</v>
      </c>
    </row>
    <row r="2" spans="1:11" ht="18" customHeight="1" x14ac:dyDescent="0.2">
      <c r="A2" s="5" t="s">
        <v>23</v>
      </c>
      <c r="B2" s="5" t="s">
        <v>24</v>
      </c>
    </row>
    <row r="3" spans="1:11" ht="18" customHeight="1" x14ac:dyDescent="0.2">
      <c r="A3" s="7" t="s">
        <v>8</v>
      </c>
      <c r="B3" s="8">
        <f>_xlfn.NORM.S.DIST(-0.75104, TRUE)</f>
        <v>0.22631429161344258</v>
      </c>
    </row>
    <row r="5" spans="1:11" ht="18" customHeight="1" x14ac:dyDescent="0.2">
      <c r="A5" s="9" t="s">
        <v>25</v>
      </c>
    </row>
    <row r="6" spans="1:11" ht="18" customHeight="1" x14ac:dyDescent="0.2">
      <c r="A6" s="5" t="s">
        <v>9</v>
      </c>
      <c r="D6" s="11" t="s">
        <v>30</v>
      </c>
      <c r="E6" s="11" t="s">
        <v>31</v>
      </c>
    </row>
    <row r="7" spans="1:11" ht="18" customHeight="1" x14ac:dyDescent="0.2">
      <c r="A7" s="5" t="s">
        <v>10</v>
      </c>
    </row>
    <row r="8" spans="1:11" ht="18" customHeight="1" x14ac:dyDescent="0.2">
      <c r="A8" s="7" t="s">
        <v>11</v>
      </c>
      <c r="B8" s="8">
        <f>_xlfn.NORM.S.DIST(-1.18, TRUE)</f>
        <v>0.11900010745520068</v>
      </c>
      <c r="C8" s="11" t="s">
        <v>32</v>
      </c>
      <c r="D8" s="11" t="s">
        <v>33</v>
      </c>
      <c r="F8" s="11" t="s">
        <v>34</v>
      </c>
      <c r="G8" s="5">
        <f>-2.5/SQRT(50*0.1*0.9)</f>
        <v>-1.1785113019775793</v>
      </c>
      <c r="I8" s="11" t="s">
        <v>38</v>
      </c>
      <c r="J8" s="5">
        <v>5</v>
      </c>
    </row>
    <row r="9" spans="1:11" ht="18" customHeight="1" x14ac:dyDescent="0.2">
      <c r="A9" s="7" t="s">
        <v>12</v>
      </c>
      <c r="B9" s="8">
        <f>1-_xlfn.NORM.S.DIST(E9, TRUE)</f>
        <v>4.9480077009702916E-2</v>
      </c>
      <c r="D9" s="11" t="s">
        <v>35</v>
      </c>
      <c r="E9" s="5">
        <f>(8.5-5)/SQRT(50*0.1*0.9)</f>
        <v>1.649915822768611</v>
      </c>
      <c r="I9" s="11" t="s">
        <v>39</v>
      </c>
      <c r="J9" s="5">
        <v>2.1213199999999999</v>
      </c>
      <c r="K9" s="11" t="s">
        <v>41</v>
      </c>
    </row>
    <row r="10" spans="1:11" ht="18" customHeight="1" x14ac:dyDescent="0.2">
      <c r="A10" s="12" t="s">
        <v>36</v>
      </c>
      <c r="B10" s="8">
        <f>_xlfn.NORM.S.DIST(F11, TRUE) - _xlfn.NORM.S.DIST(F10, TRUE)</f>
        <v>0.18633631385668492</v>
      </c>
      <c r="D10" s="11" t="s">
        <v>37</v>
      </c>
      <c r="F10" s="5">
        <f>(4.5-J8)/J9</f>
        <v>-0.23570229856881567</v>
      </c>
      <c r="G10" s="13" t="s">
        <v>42</v>
      </c>
    </row>
    <row r="11" spans="1:11" ht="18" customHeight="1" x14ac:dyDescent="0.2">
      <c r="D11" s="11" t="s">
        <v>40</v>
      </c>
      <c r="F11" s="5">
        <f>(5.5-J8)/J9</f>
        <v>0.23570229856881567</v>
      </c>
    </row>
    <row r="12" spans="1:11" ht="18" customHeight="1" x14ac:dyDescent="0.2">
      <c r="A12" s="9" t="s">
        <v>26</v>
      </c>
    </row>
    <row r="13" spans="1:11" ht="18" customHeight="1" x14ac:dyDescent="0.2">
      <c r="A13" s="5" t="s">
        <v>13</v>
      </c>
      <c r="E13" s="11" t="s">
        <v>43</v>
      </c>
    </row>
    <row r="14" spans="1:11" ht="18" customHeight="1" x14ac:dyDescent="0.2">
      <c r="A14" s="7" t="s">
        <v>14</v>
      </c>
      <c r="B14" s="8">
        <f>_xlfn.NORM.S.DIST(F14, TRUE)</f>
        <v>5.8753075939847292E-2</v>
      </c>
      <c r="E14" s="11" t="s">
        <v>35</v>
      </c>
      <c r="F14" s="5">
        <f>-49.5/SQRT(1000)</f>
        <v>-1.5653274417833478</v>
      </c>
    </row>
    <row r="17" spans="1:11" ht="18" customHeight="1" x14ac:dyDescent="0.2">
      <c r="A17" t="s">
        <v>16</v>
      </c>
    </row>
    <row r="18" spans="1:11" ht="18" customHeight="1" x14ac:dyDescent="0.2">
      <c r="A18" t="s">
        <v>17</v>
      </c>
    </row>
    <row r="19" spans="1:11" ht="18" customHeight="1" x14ac:dyDescent="0.2">
      <c r="A19" t="s">
        <v>18</v>
      </c>
      <c r="I19" s="11"/>
    </row>
    <row r="20" spans="1:11" ht="18" customHeight="1" x14ac:dyDescent="0.2">
      <c r="A20" s="11" t="s">
        <v>15</v>
      </c>
      <c r="B20" s="8">
        <f>_xlfn.NORM.S.DIST(K20, TRUE) - _xlfn.NORM.S.DIST(K21, TRUE)</f>
        <v>0.44948186781810112</v>
      </c>
      <c r="E20" s="11" t="s">
        <v>52</v>
      </c>
      <c r="F20" s="11">
        <v>20</v>
      </c>
      <c r="G20" s="11" t="s">
        <v>45</v>
      </c>
      <c r="H20" s="5">
        <v>200</v>
      </c>
      <c r="J20" s="11" t="s">
        <v>50</v>
      </c>
      <c r="K20" s="5">
        <f>(25.5-F20)/I21</f>
        <v>1.2963624321753373</v>
      </c>
    </row>
    <row r="21" spans="1:11" ht="18" customHeight="1" x14ac:dyDescent="0.2">
      <c r="A21" s="11" t="s">
        <v>49</v>
      </c>
      <c r="E21" s="11" t="s">
        <v>44</v>
      </c>
      <c r="F21" s="5">
        <v>0.1</v>
      </c>
      <c r="G21" s="11" t="s">
        <v>46</v>
      </c>
      <c r="H21" s="11" t="s">
        <v>47</v>
      </c>
      <c r="I21" s="5">
        <f>SQRT(H20*F21*F22)</f>
        <v>4.2426406871192848</v>
      </c>
      <c r="J21" s="11" t="s">
        <v>51</v>
      </c>
      <c r="K21" s="5">
        <f>(19.5-F20)/I21</f>
        <v>-0.11785113019775793</v>
      </c>
    </row>
    <row r="22" spans="1:11" ht="18" customHeight="1" x14ac:dyDescent="0.2">
      <c r="E22" s="11" t="s">
        <v>48</v>
      </c>
      <c r="F22" s="5">
        <f>1-F21</f>
        <v>0.9</v>
      </c>
    </row>
    <row r="23" spans="1:11" ht="18" customHeight="1" x14ac:dyDescent="0.2">
      <c r="A23" s="5" t="s">
        <v>27</v>
      </c>
    </row>
    <row r="24" spans="1:11" ht="18" customHeight="1" x14ac:dyDescent="0.2">
      <c r="A24" s="5" t="s">
        <v>28</v>
      </c>
      <c r="F24" s="11" t="s">
        <v>54</v>
      </c>
    </row>
    <row r="25" spans="1:11" ht="18" customHeight="1" x14ac:dyDescent="0.2">
      <c r="A25" s="5" t="s">
        <v>29</v>
      </c>
    </row>
    <row r="26" spans="1:11" ht="18" customHeight="1" x14ac:dyDescent="0.2">
      <c r="A26" s="5" t="s">
        <v>15</v>
      </c>
      <c r="B26" s="8">
        <f>_xlfn.NORM.S.DIST(F27, TRUE)</f>
        <v>0.29892168825078635</v>
      </c>
      <c r="E26" s="11" t="s">
        <v>38</v>
      </c>
      <c r="F26" s="5">
        <v>2.2999999999999998</v>
      </c>
      <c r="G26" s="11" t="s">
        <v>57</v>
      </c>
      <c r="H26" s="5">
        <f>SQRT(F26)</f>
        <v>1.51657508881031</v>
      </c>
    </row>
    <row r="27" spans="1:11" ht="18" customHeight="1" x14ac:dyDescent="0.2">
      <c r="A27" s="11" t="s">
        <v>53</v>
      </c>
      <c r="E27" s="11" t="s">
        <v>55</v>
      </c>
      <c r="F27" s="5">
        <f xml:space="preserve"> ( 1.5 - F26 ) / (H26)</f>
        <v>-0.52750437871662947</v>
      </c>
    </row>
    <row r="28" spans="1:11" ht="18" customHeight="1" x14ac:dyDescent="0.2">
      <c r="A28" s="11" t="s">
        <v>56</v>
      </c>
    </row>
    <row r="29" spans="1:11" ht="18" customHeight="1" x14ac:dyDescent="0.2">
      <c r="E29" s="14" t="s">
        <v>58</v>
      </c>
      <c r="F29" s="14"/>
      <c r="G29" s="14"/>
      <c r="H29" s="14"/>
      <c r="I29" s="14"/>
    </row>
    <row r="30" spans="1:11" ht="18" customHeight="1" x14ac:dyDescent="0.2">
      <c r="E30" s="14"/>
      <c r="F30" s="14"/>
      <c r="G30" s="14"/>
      <c r="H30" s="14"/>
      <c r="I30" s="14"/>
    </row>
  </sheetData>
  <mergeCells count="1">
    <mergeCell ref="E29:I30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C118-24DF-41FF-A968-AD7C6F61B92D}">
  <dimension ref="A11:B14"/>
  <sheetViews>
    <sheetView workbookViewId="0">
      <selection activeCell="A10" sqref="A10"/>
    </sheetView>
  </sheetViews>
  <sheetFormatPr baseColWidth="10" defaultColWidth="8.83203125" defaultRowHeight="20" customHeight="1" x14ac:dyDescent="0.2"/>
  <cols>
    <col min="1" max="1" width="10.6640625" customWidth="1"/>
    <col min="2" max="2" width="15.6640625" customWidth="1"/>
  </cols>
  <sheetData>
    <row r="11" spans="1:2" ht="20" customHeight="1" x14ac:dyDescent="0.2">
      <c r="A11" s="3" t="s">
        <v>19</v>
      </c>
      <c r="B11" s="8"/>
    </row>
    <row r="12" spans="1:2" ht="20" customHeight="1" x14ac:dyDescent="0.2">
      <c r="A12" s="3" t="s">
        <v>20</v>
      </c>
      <c r="B12" s="8"/>
    </row>
    <row r="13" spans="1:2" ht="20" customHeight="1" x14ac:dyDescent="0.2">
      <c r="A13" s="3" t="s">
        <v>21</v>
      </c>
      <c r="B13" s="8"/>
    </row>
    <row r="14" spans="1:2" ht="20" customHeight="1" x14ac:dyDescent="0.2">
      <c r="A14" s="3" t="s">
        <v>22</v>
      </c>
      <c r="B14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2022-05-15T15:37:24Z</dcterms:created>
  <dcterms:modified xsi:type="dcterms:W3CDTF">2026-05-14T05:14:08Z</dcterms:modified>
</cp:coreProperties>
</file>